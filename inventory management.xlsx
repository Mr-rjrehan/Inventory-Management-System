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ehan\"/>
    </mc:Choice>
  </mc:AlternateContent>
  <xr:revisionPtr revIDLastSave="0" documentId="13_ncr:1_{841A0862-34AF-4BE9-BE8C-192269B763BE}" xr6:coauthVersionLast="47" xr6:coauthVersionMax="47" xr10:uidLastSave="{00000000-0000-0000-0000-000000000000}"/>
  <bookViews>
    <workbookView xWindow="-108" yWindow="-108" windowWidth="23256" windowHeight="12456" xr2:uid="{A2BA6938-65C6-4A70-99A8-7C4FFA9D37D2}"/>
  </bookViews>
  <sheets>
    <sheet name="Dashboard" sheetId="1" r:id="rId1"/>
    <sheet name="Customers" sheetId="10" r:id="rId2"/>
    <sheet name="Products" sheetId="3" r:id="rId3"/>
    <sheet name="Vendors" sheetId="4" r:id="rId4"/>
    <sheet name="New Entry" sheetId="5" r:id="rId5"/>
    <sheet name="Purchase" sheetId="6" r:id="rId6"/>
    <sheet name="Sales" sheetId="7" r:id="rId7"/>
    <sheet name="Inventory" sheetId="8" r:id="rId8"/>
    <sheet name="Pivots" sheetId="9" r:id="rId9"/>
  </sheets>
  <definedNames>
    <definedName name="cid">CustomersData[Cust_ID]</definedName>
    <definedName name="HSNCode">ProductsData[HSN Code]</definedName>
  </definedNames>
  <calcPr calcId="191029"/>
  <pivotCaches>
    <pivotCache cacheId="33" r:id="rId10"/>
    <pivotCache cacheId="35" r:id="rId11"/>
    <pivotCache cacheId="37" r:id="rId12"/>
    <pivotCache cacheId="40" r:id="rId13"/>
    <pivotCache cacheId="4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1" l="1" a="1"/>
  <c r="L14" i="1" s="1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H9" i="8"/>
  <c r="K18" i="7"/>
  <c r="L18" i="7" s="1"/>
  <c r="H8" i="8"/>
  <c r="H10" i="8"/>
  <c r="H11" i="8"/>
  <c r="H12" i="8"/>
  <c r="H13" i="8"/>
  <c r="H14" i="8"/>
  <c r="H15" i="8"/>
  <c r="H16" i="8"/>
  <c r="H17" i="8"/>
  <c r="H18" i="8"/>
  <c r="H19" i="8"/>
  <c r="H20" i="8"/>
  <c r="H21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L8" i="7"/>
  <c r="L9" i="7"/>
  <c r="K8" i="7"/>
  <c r="K9" i="7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9" i="7"/>
  <c r="L19" i="7" s="1"/>
  <c r="K20" i="7"/>
  <c r="L20" i="7" s="1"/>
  <c r="K21" i="7"/>
  <c r="L21" i="7" s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F10" i="6"/>
  <c r="F8" i="6"/>
  <c r="F9" i="6"/>
  <c r="F11" i="6"/>
  <c r="F12" i="6"/>
  <c r="F13" i="6"/>
  <c r="F14" i="6"/>
  <c r="F15" i="6"/>
  <c r="F16" i="6"/>
  <c r="F17" i="6"/>
  <c r="F18" i="6"/>
  <c r="F19" i="6"/>
  <c r="F20" i="6"/>
  <c r="F21" i="6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C15" i="9"/>
  <c r="C12" i="9"/>
  <c r="C9" i="9"/>
  <c r="C6" i="9"/>
  <c r="C3" i="9"/>
  <c r="C19" i="9" l="1"/>
  <c r="I17" i="8"/>
  <c r="J17" i="8" s="1"/>
  <c r="I18" i="8"/>
  <c r="J18" i="8" s="1"/>
  <c r="I16" i="8"/>
  <c r="J16" i="8" s="1"/>
  <c r="I15" i="8"/>
  <c r="I19" i="7" s="1"/>
  <c r="I14" i="8"/>
  <c r="I18" i="7" s="1"/>
  <c r="I13" i="8"/>
  <c r="J13" i="8" s="1"/>
  <c r="I12" i="8"/>
  <c r="I11" i="8"/>
  <c r="I10" i="8"/>
  <c r="J10" i="8" s="1"/>
  <c r="I21" i="8"/>
  <c r="J21" i="8" s="1"/>
  <c r="I8" i="8"/>
  <c r="J8" i="8" s="1"/>
  <c r="I20" i="8"/>
  <c r="J20" i="8" s="1"/>
  <c r="I19" i="8"/>
  <c r="J19" i="8" s="1"/>
  <c r="I9" i="8"/>
  <c r="I12" i="7" s="1"/>
  <c r="J11" i="8"/>
  <c r="I21" i="7"/>
  <c r="I16" i="7"/>
  <c r="I20" i="7"/>
  <c r="I9" i="7"/>
  <c r="J12" i="8"/>
  <c r="I10" i="7"/>
  <c r="I11" i="7"/>
  <c r="I8" i="7"/>
  <c r="I17" i="7" l="1"/>
  <c r="J14" i="8"/>
  <c r="J15" i="8"/>
  <c r="I14" i="7"/>
  <c r="I15" i="7"/>
  <c r="I13" i="7"/>
  <c r="J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<sst xmlns="http://schemas.openxmlformats.org/spreadsheetml/2006/main" count="196" uniqueCount="107">
  <si>
    <t>Cust_ID</t>
  </si>
  <si>
    <t>Name</t>
  </si>
  <si>
    <t>Email</t>
  </si>
  <si>
    <t>Address</t>
  </si>
  <si>
    <t>Ram Sales</t>
  </si>
  <si>
    <t>Atul Ltd.</t>
  </si>
  <si>
    <t>MK Tech.</t>
  </si>
  <si>
    <t>99store</t>
  </si>
  <si>
    <t>Rajesh Kumar</t>
  </si>
  <si>
    <t>Amit</t>
  </si>
  <si>
    <t>Jain Tel.</t>
  </si>
  <si>
    <t>ram@gmail.com</t>
  </si>
  <si>
    <t>Atul@gmail.com</t>
  </si>
  <si>
    <t>MK@gmail.com</t>
  </si>
  <si>
    <t>99s@gmail.com</t>
  </si>
  <si>
    <t>raj@gmail.com</t>
  </si>
  <si>
    <t>ami@gmail.com</t>
  </si>
  <si>
    <t>jai@gmail.com</t>
  </si>
  <si>
    <t>Delhi, India</t>
  </si>
  <si>
    <t>121102, Palwal, HR</t>
  </si>
  <si>
    <t>Faridabad, 121101</t>
  </si>
  <si>
    <t>Agra, up</t>
  </si>
  <si>
    <t>New Delhi, 110011</t>
  </si>
  <si>
    <t>Gurgaon, Sec-15</t>
  </si>
  <si>
    <t>Janpath, New Delhi</t>
  </si>
  <si>
    <t>HSN Code</t>
  </si>
  <si>
    <t>Product Name</t>
  </si>
  <si>
    <t>Cost (₹)</t>
  </si>
  <si>
    <t>Selling Price (₹)</t>
  </si>
  <si>
    <t>N1001</t>
  </si>
  <si>
    <t>Mobile Phone</t>
  </si>
  <si>
    <t>N1002</t>
  </si>
  <si>
    <t>Laptop</t>
  </si>
  <si>
    <t>N1003</t>
  </si>
  <si>
    <t>Cotton T-Shirt</t>
  </si>
  <si>
    <t>N1004</t>
  </si>
  <si>
    <t>Leather Shoes</t>
  </si>
  <si>
    <t>N1005</t>
  </si>
  <si>
    <t>Wooden Office Chair</t>
  </si>
  <si>
    <t>N1006</t>
  </si>
  <si>
    <t>Stainless Steel Water Bottle</t>
  </si>
  <si>
    <t>N1007</t>
  </si>
  <si>
    <t>Biscuits (Pack)</t>
  </si>
  <si>
    <t>N1008</t>
  </si>
  <si>
    <t>Tea (500 g Pack)</t>
  </si>
  <si>
    <t>N1009</t>
  </si>
  <si>
    <t>Electric Kettle</t>
  </si>
  <si>
    <t>N1010</t>
  </si>
  <si>
    <t>Face Cream</t>
  </si>
  <si>
    <t>Wooden Office</t>
  </si>
  <si>
    <t>Stainless Steel</t>
  </si>
  <si>
    <t>Vendor Name</t>
  </si>
  <si>
    <t>Phone Number</t>
  </si>
  <si>
    <t>TechZone Distributors</t>
  </si>
  <si>
    <t>Chennai, Tamil Nadu</t>
  </si>
  <si>
    <t>Digital World</t>
  </si>
  <si>
    <t>Bengaluru, Karnataka</t>
  </si>
  <si>
    <t>Fashion Hub</t>
  </si>
  <si>
    <t>Tiruppur, Tamil Nadu</t>
  </si>
  <si>
    <t>StepUp Traders</t>
  </si>
  <si>
    <t>Agra, Uttar Pradesh</t>
  </si>
  <si>
    <t>Comfort Furniture</t>
  </si>
  <si>
    <t>Jaipur, Rajasthan</t>
  </si>
  <si>
    <t>SteelMart</t>
  </si>
  <si>
    <t>Coimbatore, Tamil Nadu</t>
  </si>
  <si>
    <t>Fresh Foods</t>
  </si>
  <si>
    <t>Hyderabad, Telangana</t>
  </si>
  <si>
    <t>Green Leaf Suppliers</t>
  </si>
  <si>
    <t>Kochi, Kerala</t>
  </si>
  <si>
    <t>Home Appliances Ltd</t>
  </si>
  <si>
    <t>Pune, Maharashtra</t>
  </si>
  <si>
    <t>Beauty Care Wholesale</t>
  </si>
  <si>
    <t>Mumbai, Maharashtra</t>
  </si>
  <si>
    <t>Column1</t>
  </si>
  <si>
    <t>Purchase Entry</t>
  </si>
  <si>
    <t>Sales Entry</t>
  </si>
  <si>
    <t>Vendor</t>
  </si>
  <si>
    <t>Date</t>
  </si>
  <si>
    <t>Units</t>
  </si>
  <si>
    <t>Cost</t>
  </si>
  <si>
    <t>Amount</t>
  </si>
  <si>
    <t>Cust_name</t>
  </si>
  <si>
    <t>Stock(Units)</t>
  </si>
  <si>
    <t>Price</t>
  </si>
  <si>
    <t>Sales Units</t>
  </si>
  <si>
    <t>Stock Amt</t>
  </si>
  <si>
    <t>Stock</t>
  </si>
  <si>
    <t>Purchase Units</t>
  </si>
  <si>
    <t>Count of Name</t>
  </si>
  <si>
    <t>Customers</t>
  </si>
  <si>
    <t>Count of Product Name</t>
  </si>
  <si>
    <t>Products</t>
  </si>
  <si>
    <t>Sum of Amount</t>
  </si>
  <si>
    <t>Purchase Amt</t>
  </si>
  <si>
    <t>Sale Amt</t>
  </si>
  <si>
    <t>Sum of Stock Amt</t>
  </si>
  <si>
    <t>P/L</t>
  </si>
  <si>
    <t>Row Labels</t>
  </si>
  <si>
    <t>Grand Total</t>
  </si>
  <si>
    <t>Sum of Sales Units</t>
  </si>
  <si>
    <t>Notifications!</t>
  </si>
  <si>
    <t>Notification</t>
  </si>
  <si>
    <t>Sum of Stock</t>
  </si>
  <si>
    <t xml:space="preserve">harry </t>
  </si>
  <si>
    <t>harry156@gmail.com</t>
  </si>
  <si>
    <t>potter</t>
  </si>
  <si>
    <t>potter154@gmail.com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</si>
</sst>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39]#,##0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ont="1" applyFill="1"/>
    <xf numFmtId="0" fontId="2" fillId="2" borderId="0" xfId="0" applyFont="1" applyFill="1"/>
    <xf numFmtId="0" fontId="4" fillId="2" borderId="0" xfId="1" applyFill="1"/>
    <xf numFmtId="0" fontId="5" fillId="2" borderId="0" xfId="1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7" fillId="0" borderId="0" xfId="0" applyFont="1"/>
    <xf numFmtId="0" fontId="6" fillId="2" borderId="0" xfId="0" applyFont="1" applyFill="1"/>
    <xf numFmtId="14" fontId="0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14" fontId="9" fillId="2" borderId="0" xfId="0" applyNumberFormat="1" applyFont="1" applyFill="1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0" fontId="2" fillId="4" borderId="0" xfId="0" applyFont="1" applyFill="1"/>
    <xf numFmtId="0" fontId="9" fillId="2" borderId="0" xfId="0" applyNumberFormat="1" applyFont="1" applyFill="1"/>
    <xf numFmtId="0" fontId="10" fillId="3" borderId="0" xfId="0" applyFont="1" applyFill="1"/>
  </cellXfs>
  <cellStyles count="2">
    <cellStyle name="Hyperlink" xfId="1" builtinId="8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FFFFFF"/>
      <color rgb="FFFC88E0"/>
      <color rgb="FFAC36B2"/>
      <color rgb="FFC9F391"/>
      <color rgb="FFE79DD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Pivots!$E$3:$E$8</c:f>
              <c:strCache>
                <c:ptCount val="5"/>
                <c:pt idx="0">
                  <c:v>Leather Shoes</c:v>
                </c:pt>
                <c:pt idx="1">
                  <c:v>Wooden Office</c:v>
                </c:pt>
                <c:pt idx="2">
                  <c:v>Biscuits (Pack)</c:v>
                </c:pt>
                <c:pt idx="3">
                  <c:v>Tea (500 g Pack)</c:v>
                </c:pt>
                <c:pt idx="4">
                  <c:v>Laptop</c:v>
                </c:pt>
              </c:strCache>
            </c:strRef>
          </c:cat>
          <c:val>
            <c:numRef>
              <c:f>Pivots!$F$3:$F$8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16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A-4349-AAB3-2FE729A1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0739535"/>
        <c:axId val="320739951"/>
      </c:barChart>
      <c:catAx>
        <c:axId val="32073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9951"/>
        <c:crosses val="autoZero"/>
        <c:auto val="1"/>
        <c:lblAlgn val="ctr"/>
        <c:lblOffset val="100"/>
        <c:noMultiLvlLbl val="0"/>
      </c:catAx>
      <c:valAx>
        <c:axId val="32073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management.xlsx]Pivots!PivotTable8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Pivots!$E$11:$E$16</c:f>
              <c:strCache>
                <c:ptCount val="5"/>
                <c:pt idx="0">
                  <c:v>Rajesh Kumar</c:v>
                </c:pt>
                <c:pt idx="1">
                  <c:v>MK Tech.</c:v>
                </c:pt>
                <c:pt idx="2">
                  <c:v>Amit</c:v>
                </c:pt>
                <c:pt idx="3">
                  <c:v>99store</c:v>
                </c:pt>
                <c:pt idx="4">
                  <c:v>Atul Ltd.</c:v>
                </c:pt>
              </c:strCache>
            </c:strRef>
          </c:cat>
          <c:val>
            <c:numRef>
              <c:f>Pivots!$F$11:$F$16</c:f>
              <c:numCache>
                <c:formatCode>General</c:formatCode>
                <c:ptCount val="5"/>
                <c:pt idx="0">
                  <c:v>263480</c:v>
                </c:pt>
                <c:pt idx="1">
                  <c:v>63996</c:v>
                </c:pt>
                <c:pt idx="2">
                  <c:v>50282</c:v>
                </c:pt>
                <c:pt idx="3">
                  <c:v>17495</c:v>
                </c:pt>
                <c:pt idx="4">
                  <c:v>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0-48A1-9A33-45AFAFDB1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8930783"/>
        <c:axId val="328931199"/>
      </c:barChart>
      <c:catAx>
        <c:axId val="32893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31199"/>
        <c:crosses val="autoZero"/>
        <c:auto val="1"/>
        <c:lblAlgn val="ctr"/>
        <c:lblOffset val="100"/>
        <c:noMultiLvlLbl val="0"/>
      </c:catAx>
      <c:valAx>
        <c:axId val="32893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management.xlsx]Pivots!PivotTable9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Pivots!$A$22:$A$32</c:f>
              <c:strCache>
                <c:ptCount val="10"/>
                <c:pt idx="0">
                  <c:v>Biscuits (Pack)</c:v>
                </c:pt>
                <c:pt idx="1">
                  <c:v>Cotton T-Shirt</c:v>
                </c:pt>
                <c:pt idx="2">
                  <c:v>Electric Kettle</c:v>
                </c:pt>
                <c:pt idx="3">
                  <c:v>Face Cream</c:v>
                </c:pt>
                <c:pt idx="4">
                  <c:v>Laptop</c:v>
                </c:pt>
                <c:pt idx="5">
                  <c:v>Leather Shoes</c:v>
                </c:pt>
                <c:pt idx="6">
                  <c:v>Mobile Phone</c:v>
                </c:pt>
                <c:pt idx="7">
                  <c:v>Stainless Steel</c:v>
                </c:pt>
                <c:pt idx="8">
                  <c:v>Tea (500 g Pack)</c:v>
                </c:pt>
                <c:pt idx="9">
                  <c:v>Wooden Office</c:v>
                </c:pt>
              </c:strCache>
            </c:strRef>
          </c:cat>
          <c:val>
            <c:numRef>
              <c:f>Pivots!$B$22:$B$32</c:f>
              <c:numCache>
                <c:formatCode>General</c:formatCode>
                <c:ptCount val="10"/>
                <c:pt idx="0">
                  <c:v>30</c:v>
                </c:pt>
                <c:pt idx="1">
                  <c:v>57</c:v>
                </c:pt>
                <c:pt idx="2">
                  <c:v>0</c:v>
                </c:pt>
                <c:pt idx="3">
                  <c:v>0</c:v>
                </c:pt>
                <c:pt idx="4">
                  <c:v>-5</c:v>
                </c:pt>
                <c:pt idx="5">
                  <c:v>5</c:v>
                </c:pt>
                <c:pt idx="6">
                  <c:v>17</c:v>
                </c:pt>
                <c:pt idx="7">
                  <c:v>35</c:v>
                </c:pt>
                <c:pt idx="8">
                  <c:v>20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E-4380-A5E7-B95E1F59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323007"/>
        <c:axId val="377323839"/>
        <c:axId val="0"/>
      </c:bar3DChart>
      <c:catAx>
        <c:axId val="37732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23839"/>
        <c:crosses val="autoZero"/>
        <c:auto val="1"/>
        <c:lblAlgn val="ctr"/>
        <c:lblOffset val="100"/>
        <c:noMultiLvlLbl val="0"/>
      </c:catAx>
      <c:valAx>
        <c:axId val="3773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23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24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23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26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25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27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28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30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31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32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2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2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34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33.png"/><Relationship Id="rId10" Type="http://schemas.openxmlformats.org/officeDocument/2006/relationships/hyperlink" Target="#Sales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Inventory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3" name="Graphic 2" descr="Suburban scene with solid fill">
          <a:extLst>
            <a:ext uri="{FF2B5EF4-FFF2-40B4-BE49-F238E27FC236}">
              <a16:creationId xmlns:a16="http://schemas.microsoft.com/office/drawing/2014/main" id="{00461FD8-3523-4BFE-B0F3-387A2C35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60050C-6D9D-4F87-B6FF-34CD0228F9A1}"/>
            </a:ext>
          </a:extLst>
        </xdr:cNvPr>
        <xdr:cNvSpPr/>
      </xdr:nvSpPr>
      <xdr:spPr>
        <a:xfrm>
          <a:off x="236220" y="883920"/>
          <a:ext cx="17754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523C6C-0230-408B-9D3F-56BB3305ABC6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E62880-2359-410B-A287-BF3808629F33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357946-3964-4B36-8DB8-C0C19A922B2F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5D5E35-EE6F-4964-A441-ED981DE53C19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C6FFEE-50BE-4B4C-9014-3A7930D073F5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247D54A-9962-453D-887D-0B6AA0353ECB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9BDF7B-66E3-4FCC-B3AE-06C609D57712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2" name="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7C84B-1227-4A03-AC60-F906DC895EE9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6" name="Graphic 15" descr="User with solid fill">
          <a:extLst>
            <a:ext uri="{FF2B5EF4-FFF2-40B4-BE49-F238E27FC236}">
              <a16:creationId xmlns:a16="http://schemas.microsoft.com/office/drawing/2014/main" id="{DE718430-36A5-4FD2-B02E-3213FC31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8" name="Graphic 17" descr="Bar graph with upward trend with solid fill">
          <a:extLst>
            <a:ext uri="{FF2B5EF4-FFF2-40B4-BE49-F238E27FC236}">
              <a16:creationId xmlns:a16="http://schemas.microsoft.com/office/drawing/2014/main" id="{E115D845-1589-4FB9-BF99-495197C23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20" name="Graphic 19" descr="Male profile with solid fill">
          <a:extLst>
            <a:ext uri="{FF2B5EF4-FFF2-40B4-BE49-F238E27FC236}">
              <a16:creationId xmlns:a16="http://schemas.microsoft.com/office/drawing/2014/main" id="{77F7ADFF-89F1-40F2-8414-A0CBE010F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60960</xdr:rowOff>
    </xdr:from>
    <xdr:to>
      <xdr:col>22</xdr:col>
      <xdr:colOff>0</xdr:colOff>
      <xdr:row>5</xdr:row>
      <xdr:rowOff>7620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613D892-F5ED-4F61-88BF-84190C1B92D5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Inventory Management System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36" name="Graphic 35" descr="Presentation with bar chart with solid fill">
          <a:extLst>
            <a:ext uri="{FF2B5EF4-FFF2-40B4-BE49-F238E27FC236}">
              <a16:creationId xmlns:a16="http://schemas.microsoft.com/office/drawing/2014/main" id="{FECE9AEA-5B7D-47CD-8934-D7AF7672F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38" name="Graphic 37" descr="Medicine with solid fill">
          <a:extLst>
            <a:ext uri="{FF2B5EF4-FFF2-40B4-BE49-F238E27FC236}">
              <a16:creationId xmlns:a16="http://schemas.microsoft.com/office/drawing/2014/main" id="{A706D28E-A0CA-40EC-B5A1-A709314C6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40" name="Graphic 39" descr="List with solid fill">
          <a:extLst>
            <a:ext uri="{FF2B5EF4-FFF2-40B4-BE49-F238E27FC236}">
              <a16:creationId xmlns:a16="http://schemas.microsoft.com/office/drawing/2014/main" id="{747B103A-27D7-4F85-B415-A0953E3DA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44" name="Graphic 43" descr="House with solid fill">
          <a:extLst>
            <a:ext uri="{FF2B5EF4-FFF2-40B4-BE49-F238E27FC236}">
              <a16:creationId xmlns:a16="http://schemas.microsoft.com/office/drawing/2014/main" id="{ECFAF590-1E60-4028-ABEE-95C813BC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46" name="Graphic 45" descr="Shopping cart with solid fill">
          <a:extLst>
            <a:ext uri="{FF2B5EF4-FFF2-40B4-BE49-F238E27FC236}">
              <a16:creationId xmlns:a16="http://schemas.microsoft.com/office/drawing/2014/main" id="{47D1871D-3756-4887-B06E-0FC6E504C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  <xdr:twoCellAnchor editAs="absolute">
    <xdr:from>
      <xdr:col>3</xdr:col>
      <xdr:colOff>22860</xdr:colOff>
      <xdr:row>7</xdr:row>
      <xdr:rowOff>7620</xdr:rowOff>
    </xdr:from>
    <xdr:to>
      <xdr:col>5</xdr:col>
      <xdr:colOff>137160</xdr:colOff>
      <xdr:row>9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C1C509-7FAC-41FA-A34F-765D2038EDA8}"/>
            </a:ext>
          </a:extLst>
        </xdr:cNvPr>
        <xdr:cNvSpPr/>
      </xdr:nvSpPr>
      <xdr:spPr>
        <a:xfrm>
          <a:off x="2034540" y="1287780"/>
          <a:ext cx="1333500" cy="533400"/>
        </a:xfrm>
        <a:prstGeom prst="rect">
          <a:avLst/>
        </a:prstGeom>
        <a:solidFill>
          <a:schemeClr val="accent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absolute">
    <xdr:from>
      <xdr:col>3</xdr:col>
      <xdr:colOff>129540</xdr:colOff>
      <xdr:row>7</xdr:row>
      <xdr:rowOff>7620</xdr:rowOff>
    </xdr:from>
    <xdr:to>
      <xdr:col>5</xdr:col>
      <xdr:colOff>137160</xdr:colOff>
      <xdr:row>9</xdr:row>
      <xdr:rowOff>175260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3AB7292-CF5B-448E-B105-3F61491A891A}"/>
            </a:ext>
          </a:extLst>
        </xdr:cNvPr>
        <xdr:cNvSpPr/>
      </xdr:nvSpPr>
      <xdr:spPr>
        <a:xfrm>
          <a:off x="2141220" y="1287780"/>
          <a:ext cx="122682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5</xdr:col>
      <xdr:colOff>259080</xdr:colOff>
      <xdr:row>7</xdr:row>
      <xdr:rowOff>7620</xdr:rowOff>
    </xdr:from>
    <xdr:to>
      <xdr:col>7</xdr:col>
      <xdr:colOff>396240</xdr:colOff>
      <xdr:row>9</xdr:row>
      <xdr:rowOff>175260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3AF7E61-E2CC-4E25-BBD5-C2872A9DEA13}"/>
            </a:ext>
          </a:extLst>
        </xdr:cNvPr>
        <xdr:cNvSpPr/>
      </xdr:nvSpPr>
      <xdr:spPr>
        <a:xfrm>
          <a:off x="3489960" y="1287780"/>
          <a:ext cx="1356360" cy="533400"/>
        </a:xfrm>
        <a:prstGeom prst="rect">
          <a:avLst/>
        </a:prstGeom>
        <a:solidFill>
          <a:schemeClr val="accent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AE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365760</xdr:colOff>
      <xdr:row>7</xdr:row>
      <xdr:rowOff>7620</xdr:rowOff>
    </xdr:from>
    <xdr:to>
      <xdr:col>7</xdr:col>
      <xdr:colOff>388620</xdr:colOff>
      <xdr:row>9</xdr:row>
      <xdr:rowOff>175260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22995FF-8C94-473B-9BD9-D79B0CD50A7F}"/>
            </a:ext>
          </a:extLst>
        </xdr:cNvPr>
        <xdr:cNvSpPr/>
      </xdr:nvSpPr>
      <xdr:spPr>
        <a:xfrm>
          <a:off x="3596640" y="1287780"/>
          <a:ext cx="124206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7</xdr:col>
      <xdr:colOff>510540</xdr:colOff>
      <xdr:row>7</xdr:row>
      <xdr:rowOff>7620</xdr:rowOff>
    </xdr:from>
    <xdr:to>
      <xdr:col>10</xdr:col>
      <xdr:colOff>22860</xdr:colOff>
      <xdr:row>9</xdr:row>
      <xdr:rowOff>175260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4393C61-38AA-493B-9BAC-60172B3ACF76}"/>
            </a:ext>
          </a:extLst>
        </xdr:cNvPr>
        <xdr:cNvSpPr/>
      </xdr:nvSpPr>
      <xdr:spPr>
        <a:xfrm>
          <a:off x="4960620" y="1287780"/>
          <a:ext cx="1341120" cy="533400"/>
        </a:xfrm>
        <a:prstGeom prst="rect">
          <a:avLst/>
        </a:prstGeom>
        <a:solidFill>
          <a:schemeClr val="accent6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absolute">
    <xdr:from>
      <xdr:col>8</xdr:col>
      <xdr:colOff>7620</xdr:colOff>
      <xdr:row>7</xdr:row>
      <xdr:rowOff>7620</xdr:rowOff>
    </xdr:from>
    <xdr:to>
      <xdr:col>10</xdr:col>
      <xdr:colOff>22860</xdr:colOff>
      <xdr:row>9</xdr:row>
      <xdr:rowOff>175260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EA83895-8A9C-4BF1-BEF5-48024D880D2C}"/>
            </a:ext>
          </a:extLst>
        </xdr:cNvPr>
        <xdr:cNvSpPr/>
      </xdr:nvSpPr>
      <xdr:spPr>
        <a:xfrm>
          <a:off x="5067300" y="1287780"/>
          <a:ext cx="123444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Purchase Amt.</a:t>
          </a:r>
        </a:p>
      </xdr:txBody>
    </xdr:sp>
    <xdr:clientData/>
  </xdr:twoCellAnchor>
  <xdr:twoCellAnchor editAs="absolute">
    <xdr:from>
      <xdr:col>10</xdr:col>
      <xdr:colOff>160020</xdr:colOff>
      <xdr:row>7</xdr:row>
      <xdr:rowOff>7620</xdr:rowOff>
    </xdr:from>
    <xdr:to>
      <xdr:col>12</xdr:col>
      <xdr:colOff>45720</xdr:colOff>
      <xdr:row>9</xdr:row>
      <xdr:rowOff>175260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32BFAA1-6606-446E-A64E-B01988260952}"/>
            </a:ext>
          </a:extLst>
        </xdr:cNvPr>
        <xdr:cNvSpPr/>
      </xdr:nvSpPr>
      <xdr:spPr>
        <a:xfrm>
          <a:off x="6438900" y="1287780"/>
          <a:ext cx="1333500" cy="533400"/>
        </a:xfrm>
        <a:prstGeom prst="rect">
          <a:avLst/>
        </a:prstGeom>
        <a:solidFill>
          <a:schemeClr val="accent4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absolute">
    <xdr:from>
      <xdr:col>10</xdr:col>
      <xdr:colOff>266700</xdr:colOff>
      <xdr:row>7</xdr:row>
      <xdr:rowOff>7620</xdr:rowOff>
    </xdr:from>
    <xdr:to>
      <xdr:col>12</xdr:col>
      <xdr:colOff>45720</xdr:colOff>
      <xdr:row>9</xdr:row>
      <xdr:rowOff>175260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1BE0868-5E1A-4249-A887-DB8FDA48AFE4}"/>
            </a:ext>
          </a:extLst>
        </xdr:cNvPr>
        <xdr:cNvSpPr/>
      </xdr:nvSpPr>
      <xdr:spPr>
        <a:xfrm>
          <a:off x="6545580" y="1287780"/>
          <a:ext cx="122682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Sales Amt.</a:t>
          </a:r>
        </a:p>
      </xdr:txBody>
    </xdr:sp>
    <xdr:clientData/>
  </xdr:twoCellAnchor>
  <xdr:twoCellAnchor editAs="absolute">
    <xdr:from>
      <xdr:col>12</xdr:col>
      <xdr:colOff>220980</xdr:colOff>
      <xdr:row>7</xdr:row>
      <xdr:rowOff>15240</xdr:rowOff>
    </xdr:from>
    <xdr:to>
      <xdr:col>14</xdr:col>
      <xdr:colOff>335280</xdr:colOff>
      <xdr:row>10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CADF93C-094A-4406-B955-A5556C5AFE0A}"/>
            </a:ext>
          </a:extLst>
        </xdr:cNvPr>
        <xdr:cNvSpPr/>
      </xdr:nvSpPr>
      <xdr:spPr>
        <a:xfrm>
          <a:off x="7947660" y="1295400"/>
          <a:ext cx="1333500" cy="533400"/>
        </a:xfrm>
        <a:prstGeom prst="rect">
          <a:avLst/>
        </a:prstGeom>
        <a:solidFill>
          <a:srgbClr val="FC88E0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absolute">
    <xdr:from>
      <xdr:col>12</xdr:col>
      <xdr:colOff>335280</xdr:colOff>
      <xdr:row>7</xdr:row>
      <xdr:rowOff>15240</xdr:rowOff>
    </xdr:from>
    <xdr:to>
      <xdr:col>14</xdr:col>
      <xdr:colOff>335280</xdr:colOff>
      <xdr:row>10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A1771F8-1405-49D1-AD2A-B3C88FB58ABF}"/>
            </a:ext>
          </a:extLst>
        </xdr:cNvPr>
        <xdr:cNvSpPr/>
      </xdr:nvSpPr>
      <xdr:spPr>
        <a:xfrm>
          <a:off x="8061960" y="1295400"/>
          <a:ext cx="121920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Stock</a:t>
          </a:r>
          <a:r>
            <a:rPr lang="en-AE" sz="1400" baseline="0">
              <a:solidFill>
                <a:schemeClr val="tx1"/>
              </a:solidFill>
            </a:rPr>
            <a:t> Amt.</a:t>
          </a:r>
          <a:endParaRPr lang="en-AE" sz="14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472440</xdr:colOff>
      <xdr:row>7</xdr:row>
      <xdr:rowOff>15240</xdr:rowOff>
    </xdr:from>
    <xdr:to>
      <xdr:col>16</xdr:col>
      <xdr:colOff>586740</xdr:colOff>
      <xdr:row>10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4FEB950-EA62-4596-9AA4-9CDE7F7F8DE6}"/>
            </a:ext>
          </a:extLst>
        </xdr:cNvPr>
        <xdr:cNvSpPr/>
      </xdr:nvSpPr>
      <xdr:spPr>
        <a:xfrm>
          <a:off x="9418320" y="1295400"/>
          <a:ext cx="1333500" cy="533400"/>
        </a:xfrm>
        <a:prstGeom prst="rect">
          <a:avLst/>
        </a:prstGeom>
        <a:solidFill>
          <a:srgbClr val="C9F39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 editAs="absolute">
    <xdr:from>
      <xdr:col>14</xdr:col>
      <xdr:colOff>579120</xdr:colOff>
      <xdr:row>7</xdr:row>
      <xdr:rowOff>15240</xdr:rowOff>
    </xdr:from>
    <xdr:to>
      <xdr:col>16</xdr:col>
      <xdr:colOff>586740</xdr:colOff>
      <xdr:row>10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9679574-2B6F-4BDB-A691-815EAECF4891}"/>
            </a:ext>
          </a:extLst>
        </xdr:cNvPr>
        <xdr:cNvSpPr/>
      </xdr:nvSpPr>
      <xdr:spPr>
        <a:xfrm>
          <a:off x="9525000" y="1295400"/>
          <a:ext cx="1226820" cy="53340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400">
              <a:solidFill>
                <a:schemeClr val="tx1"/>
              </a:solidFill>
            </a:rPr>
            <a:t>Profit/Loss</a:t>
          </a:r>
        </a:p>
      </xdr:txBody>
    </xdr:sp>
    <xdr:clientData/>
  </xdr:twoCellAnchor>
  <xdr:twoCellAnchor editAs="absolute">
    <xdr:from>
      <xdr:col>5</xdr:col>
      <xdr:colOff>464820</xdr:colOff>
      <xdr:row>8</xdr:row>
      <xdr:rowOff>91440</xdr:rowOff>
    </xdr:from>
    <xdr:to>
      <xdr:col>7</xdr:col>
      <xdr:colOff>304800</xdr:colOff>
      <xdr:row>9</xdr:row>
      <xdr:rowOff>144780</xdr:rowOff>
    </xdr:to>
    <xdr:sp macro="" textlink="Pivots!C6">
      <xdr:nvSpPr>
        <xdr:cNvPr id="13" name="Rectangle 12">
          <a:extLst>
            <a:ext uri="{FF2B5EF4-FFF2-40B4-BE49-F238E27FC236}">
              <a16:creationId xmlns:a16="http://schemas.microsoft.com/office/drawing/2014/main" id="{CB145D6B-6AF3-42B2-94FD-9D92349C4365}"/>
            </a:ext>
          </a:extLst>
        </xdr:cNvPr>
        <xdr:cNvSpPr/>
      </xdr:nvSpPr>
      <xdr:spPr>
        <a:xfrm>
          <a:off x="3695700" y="155448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505A7A1-B7F0-4392-BEE3-B66298972F28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</a:t>
          </a:fld>
          <a:endParaRPr lang="en-AE" sz="1200" b="1"/>
        </a:p>
      </xdr:txBody>
    </xdr:sp>
    <xdr:clientData/>
  </xdr:twoCellAnchor>
  <xdr:twoCellAnchor editAs="absolute">
    <xdr:from>
      <xdr:col>3</xdr:col>
      <xdr:colOff>228600</xdr:colOff>
      <xdr:row>8</xdr:row>
      <xdr:rowOff>99060</xdr:rowOff>
    </xdr:from>
    <xdr:to>
      <xdr:col>5</xdr:col>
      <xdr:colOff>68580</xdr:colOff>
      <xdr:row>9</xdr:row>
      <xdr:rowOff>152400</xdr:rowOff>
    </xdr:to>
    <xdr:sp macro="" textlink="Pivots!C3">
      <xdr:nvSpPr>
        <xdr:cNvPr id="34" name="Rectangle 33">
          <a:extLst>
            <a:ext uri="{FF2B5EF4-FFF2-40B4-BE49-F238E27FC236}">
              <a16:creationId xmlns:a16="http://schemas.microsoft.com/office/drawing/2014/main" id="{B05630FA-18CE-42DE-8360-1965B25E1430}"/>
            </a:ext>
          </a:extLst>
        </xdr:cNvPr>
        <xdr:cNvSpPr/>
      </xdr:nvSpPr>
      <xdr:spPr>
        <a:xfrm>
          <a:off x="2240280" y="156210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C9880F8-18AD-4401-B04F-54E561C39BD1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</a:t>
          </a:fld>
          <a:endParaRPr lang="en-AE" sz="1200" b="1"/>
        </a:p>
      </xdr:txBody>
    </xdr:sp>
    <xdr:clientData/>
  </xdr:twoCellAnchor>
  <xdr:twoCellAnchor editAs="absolute">
    <xdr:from>
      <xdr:col>8</xdr:col>
      <xdr:colOff>99060</xdr:colOff>
      <xdr:row>8</xdr:row>
      <xdr:rowOff>91440</xdr:rowOff>
    </xdr:from>
    <xdr:to>
      <xdr:col>9</xdr:col>
      <xdr:colOff>548640</xdr:colOff>
      <xdr:row>9</xdr:row>
      <xdr:rowOff>144780</xdr:rowOff>
    </xdr:to>
    <xdr:sp macro="" textlink="Pivots!C9">
      <xdr:nvSpPr>
        <xdr:cNvPr id="35" name="Rectangle 34">
          <a:extLst>
            <a:ext uri="{FF2B5EF4-FFF2-40B4-BE49-F238E27FC236}">
              <a16:creationId xmlns:a16="http://schemas.microsoft.com/office/drawing/2014/main" id="{F6629595-ACC0-4D89-9AE1-09E111F58422}"/>
            </a:ext>
          </a:extLst>
        </xdr:cNvPr>
        <xdr:cNvSpPr/>
      </xdr:nvSpPr>
      <xdr:spPr>
        <a:xfrm>
          <a:off x="5158740" y="155448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C87B3F1-6602-4952-B983-A3617AA7023A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₹395,708</a:t>
          </a:fld>
          <a:endParaRPr lang="en-AE" sz="1200" b="1"/>
        </a:p>
      </xdr:txBody>
    </xdr:sp>
    <xdr:clientData/>
  </xdr:twoCellAnchor>
  <xdr:twoCellAnchor editAs="absolute">
    <xdr:from>
      <xdr:col>10</xdr:col>
      <xdr:colOff>358140</xdr:colOff>
      <xdr:row>8</xdr:row>
      <xdr:rowOff>83820</xdr:rowOff>
    </xdr:from>
    <xdr:to>
      <xdr:col>11</xdr:col>
      <xdr:colOff>579120</xdr:colOff>
      <xdr:row>9</xdr:row>
      <xdr:rowOff>137160</xdr:rowOff>
    </xdr:to>
    <xdr:sp macro="" textlink="Pivots!C12">
      <xdr:nvSpPr>
        <xdr:cNvPr id="37" name="Rectangle 36">
          <a:extLst>
            <a:ext uri="{FF2B5EF4-FFF2-40B4-BE49-F238E27FC236}">
              <a16:creationId xmlns:a16="http://schemas.microsoft.com/office/drawing/2014/main" id="{843E327D-8E87-4404-B3A6-E83A0E0A33B3}"/>
            </a:ext>
          </a:extLst>
        </xdr:cNvPr>
        <xdr:cNvSpPr/>
      </xdr:nvSpPr>
      <xdr:spPr>
        <a:xfrm>
          <a:off x="6637020" y="154686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D1E8C74-0457-470D-9AE6-20191BED19A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₹406,425</a:t>
          </a:fld>
          <a:endParaRPr lang="en-AE" sz="1200" b="1"/>
        </a:p>
      </xdr:txBody>
    </xdr:sp>
    <xdr:clientData/>
  </xdr:twoCellAnchor>
  <xdr:twoCellAnchor editAs="absolute">
    <xdr:from>
      <xdr:col>12</xdr:col>
      <xdr:colOff>419100</xdr:colOff>
      <xdr:row>8</xdr:row>
      <xdr:rowOff>99060</xdr:rowOff>
    </xdr:from>
    <xdr:to>
      <xdr:col>14</xdr:col>
      <xdr:colOff>259080</xdr:colOff>
      <xdr:row>9</xdr:row>
      <xdr:rowOff>152400</xdr:rowOff>
    </xdr:to>
    <xdr:sp macro="" textlink="Pivots!C15">
      <xdr:nvSpPr>
        <xdr:cNvPr id="39" name="Rectangle 38">
          <a:extLst>
            <a:ext uri="{FF2B5EF4-FFF2-40B4-BE49-F238E27FC236}">
              <a16:creationId xmlns:a16="http://schemas.microsoft.com/office/drawing/2014/main" id="{B779A876-6FD8-4196-8F37-EBD704FCC5C5}"/>
            </a:ext>
          </a:extLst>
        </xdr:cNvPr>
        <xdr:cNvSpPr/>
      </xdr:nvSpPr>
      <xdr:spPr>
        <a:xfrm>
          <a:off x="8145780" y="156210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E73B0-1213-4AE9-A5CB-3846F2E78C5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₹78,480</a:t>
          </a:fld>
          <a:endParaRPr lang="en-AE" sz="1200" b="1"/>
        </a:p>
      </xdr:txBody>
    </xdr:sp>
    <xdr:clientData/>
  </xdr:twoCellAnchor>
  <xdr:twoCellAnchor editAs="absolute">
    <xdr:from>
      <xdr:col>15</xdr:col>
      <xdr:colOff>53340</xdr:colOff>
      <xdr:row>8</xdr:row>
      <xdr:rowOff>91440</xdr:rowOff>
    </xdr:from>
    <xdr:to>
      <xdr:col>16</xdr:col>
      <xdr:colOff>502920</xdr:colOff>
      <xdr:row>9</xdr:row>
      <xdr:rowOff>144780</xdr:rowOff>
    </xdr:to>
    <xdr:sp macro="" textlink="Pivots!C19">
      <xdr:nvSpPr>
        <xdr:cNvPr id="41" name="Rectangle 40">
          <a:extLst>
            <a:ext uri="{FF2B5EF4-FFF2-40B4-BE49-F238E27FC236}">
              <a16:creationId xmlns:a16="http://schemas.microsoft.com/office/drawing/2014/main" id="{96073A70-4012-47FD-8CF7-651D2DB40A5B}"/>
            </a:ext>
          </a:extLst>
        </xdr:cNvPr>
        <xdr:cNvSpPr/>
      </xdr:nvSpPr>
      <xdr:spPr>
        <a:xfrm>
          <a:off x="9608820" y="1554480"/>
          <a:ext cx="1059180" cy="2362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176AE4-9155-46C4-B963-73A4A957A001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₹89,197</a:t>
          </a:fld>
          <a:endParaRPr lang="en-AE" sz="1200" b="1"/>
        </a:p>
      </xdr:txBody>
    </xdr:sp>
    <xdr:clientData/>
  </xdr:twoCellAnchor>
  <xdr:twoCellAnchor>
    <xdr:from>
      <xdr:col>2</xdr:col>
      <xdr:colOff>289560</xdr:colOff>
      <xdr:row>11</xdr:row>
      <xdr:rowOff>175260</xdr:rowOff>
    </xdr:from>
    <xdr:to>
      <xdr:col>7</xdr:col>
      <xdr:colOff>53340</xdr:colOff>
      <xdr:row>21</xdr:row>
      <xdr:rowOff>129540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183797F-8F6F-43D0-92E7-6A8F8DAD2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129540</xdr:colOff>
      <xdr:row>12</xdr:row>
      <xdr:rowOff>0</xdr:rowOff>
    </xdr:from>
    <xdr:to>
      <xdr:col>10</xdr:col>
      <xdr:colOff>769620</xdr:colOff>
      <xdr:row>21</xdr:row>
      <xdr:rowOff>129540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64A38FC-11B7-4FAE-9A14-CCE15DB5E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312420</xdr:colOff>
      <xdr:row>22</xdr:row>
      <xdr:rowOff>60960</xdr:rowOff>
    </xdr:from>
    <xdr:to>
      <xdr:col>10</xdr:col>
      <xdr:colOff>762000</xdr:colOff>
      <xdr:row>34</xdr:row>
      <xdr:rowOff>167640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7FF05C5-7A71-481B-AEFF-74EA6B2A5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812889CE-293A-47BB-B0F4-7AAA66C9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1FB7A2-3421-44ED-9265-7983466C9289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33D946-1D5A-4063-BEC3-58278FC10359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5E3BB8-F4E0-45D9-84D6-3ABFAA7F9290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2F9670-05EB-4339-942B-D7F8CF4A812F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A3E7E5A-D0F5-4E10-A4F4-A70868CA710B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865ACA-C226-4C9D-B54A-BAB373D3E063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E43C169-0F87-4EF0-ACD4-A88E93AE1328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E5F6EED-ADBC-4AAD-B94E-949DB51AFB99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858F4B0-3777-47CB-B90B-9A5A149838CC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776D83DD-CECE-460B-A74B-0ABC5BCC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6B1215A4-CE73-44F2-8DEC-F0C19E5F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E5867A7C-1041-4EEF-84DE-805CAF8B5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0</xdr:rowOff>
    </xdr:from>
    <xdr:to>
      <xdr:col>21</xdr:col>
      <xdr:colOff>548640</xdr:colOff>
      <xdr:row>4</xdr:row>
      <xdr:rowOff>129540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820D949-3027-4179-B2FB-EFF38ED0F4A7}"/>
            </a:ext>
          </a:extLst>
        </xdr:cNvPr>
        <xdr:cNvSpPr/>
      </xdr:nvSpPr>
      <xdr:spPr>
        <a:xfrm>
          <a:off x="2004060" y="182880"/>
          <a:ext cx="1180338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Customers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F295519E-D297-4EAB-AAE2-7CB8EDA4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B780FCE4-1804-415D-A42D-985FA6574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E798B0E1-F14E-42C2-909B-DC0B3B1C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F5D45416-6411-4E75-8BD1-8E274465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6829A73B-DCAF-4408-9B61-7FD021DE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D41229E1-7211-4115-86C8-A6FC88A9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0E6E1E-1DDF-4A1E-A3BB-257D47876522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2979AB-97CD-4D56-B65F-043E92EBDFC8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EB46B9-8299-4FAA-BD22-955986CECA93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E66FA5-4AE6-4334-8034-2B9C29F850F5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C9E90F5-04E8-40A1-A13C-1EEB50889431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F7A875-B0EE-4829-BC0D-F8BE3CA0A6B3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1E960B-E275-4808-B9DA-3415497B8041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D6B24D3-32C9-4C94-8E9A-93755A93CE32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CD4742-E5D3-4942-9B3D-0DDF68DFBBE5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E3782E49-66CC-4697-9FD7-08108438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54E1A26B-06C9-472D-9AA7-26D524BD9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3754D2AE-3E03-4F77-8840-DAA32A52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</xdr:colOff>
      <xdr:row>1</xdr:row>
      <xdr:rowOff>60960</xdr:rowOff>
    </xdr:from>
    <xdr:to>
      <xdr:col>20</xdr:col>
      <xdr:colOff>556260</xdr:colOff>
      <xdr:row>5</xdr:row>
      <xdr:rowOff>7620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B06B00F-F8FB-4727-9FDE-D9AA46EB7557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Products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7C43F555-18AE-4CE4-B27E-87931A70F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D4860B11-EED3-4978-84CB-55B8AFE27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FB57DA7E-D067-4A38-9B2C-E9894DD1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FD37E38C-0BAB-4AE9-A3E1-4A014C32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F570F45A-96A9-4B15-9967-CE7788FFD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A127173D-7DBB-483A-B2F4-D1416D134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942792-C2C0-4B07-80BA-4704104A9D22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B7CEA8-F1F1-4621-A5B2-B16C9D6E0252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7774F6-54C2-4FAD-A86D-71C29BDF633C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2F5D9F-0223-45C3-8DBE-EC76358D9742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6591EA-AC3C-4273-BC35-9B6085F7C00F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C84B1B-C467-4F12-97AC-D09B7E3E8B67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A5312F-3371-4D3A-B183-51BCCFC0FADC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A18689-AA5D-4399-9FF5-864C3547228E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96B0211-D833-4205-A0CA-634ACC72ECA9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A4E9F046-FC30-42C8-8CE7-50D2D71A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E44B85D3-EABC-443B-8FCD-D937DF2B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1030409C-FE24-4FA8-885D-5606C37E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320040</xdr:colOff>
      <xdr:row>1</xdr:row>
      <xdr:rowOff>60960</xdr:rowOff>
    </xdr:from>
    <xdr:to>
      <xdr:col>19</xdr:col>
      <xdr:colOff>114300</xdr:colOff>
      <xdr:row>5</xdr:row>
      <xdr:rowOff>7620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9C017F3-D8B6-4D5E-BF4A-29C59719445E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Vendors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67B144CA-3FA2-4A39-BFED-9B511048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11E0EB04-D355-4E89-959A-D0902FCB8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428DA91F-429C-40FB-BBFB-D2719712A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7B90909A-39C2-4EEB-BC85-5A38AEFB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6BC579EE-2421-493C-B415-9D09ADE1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B964139B-D16E-4E69-9EEA-AC5A43730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32982E-8089-4085-A97D-83BB40F96555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BD6B4D-6D73-4C23-8625-7D2BD2C0BEDB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94AABB-A80C-40FF-AC05-D710C3FD22B5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F8460C-3A93-4D70-9B6E-0D6FD3636B39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3AB9FE-5117-4B1B-9515-BD4B56194124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C3F463-ECDE-4B6E-8C49-490E2941A87B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New</a:t>
          </a:r>
          <a:r>
            <a:rPr lang="en-AE" sz="1200" b="1" baseline="0">
              <a:solidFill>
                <a:schemeClr val="tx1"/>
              </a:solidFill>
            </a:rPr>
            <a:t> Entry</a:t>
          </a:r>
          <a:endParaRPr lang="en-AE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ABE633-AADB-4D1B-AFA8-67FC70953BDB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BF0BCE9-C124-4B66-A2EC-6D0436D0A01C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9926CC-7DBE-44C2-AE78-F6AD601C2F65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0074A111-7D21-4BC2-B940-C087869B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AE6CACAC-3C86-4E0B-A8DB-7C00BE01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BBBD752D-B8F2-474B-8C7B-585A919C2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320040</xdr:colOff>
      <xdr:row>1</xdr:row>
      <xdr:rowOff>60960</xdr:rowOff>
    </xdr:from>
    <xdr:to>
      <xdr:col>22</xdr:col>
      <xdr:colOff>220980</xdr:colOff>
      <xdr:row>5</xdr:row>
      <xdr:rowOff>7620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04844D8-60C7-4976-9B84-2C7904204995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New Entry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28677FDE-DF34-497E-B5AD-FD0F544B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D1BF40FD-EAC9-44F9-8DCA-D1509C8E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B310132B-ABC6-4149-9F86-EB9CAEF3D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35B28544-CE8A-4421-92BD-784724B0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C77F4349-2767-4AB0-9A14-01042F2E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1" name="Graphic 20" descr="Suburban scene with solid fill">
          <a:extLst>
            <a:ext uri="{FF2B5EF4-FFF2-40B4-BE49-F238E27FC236}">
              <a16:creationId xmlns:a16="http://schemas.microsoft.com/office/drawing/2014/main" id="{DF721E0D-DC64-45AC-8C19-AAD63968A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3A56A96-7DC1-4543-A258-B81CAF1550C4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6F96C8-AAE3-479A-B9E3-B13C45FEC88F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24" name="Rectangle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C6D876-8483-4529-97E2-B1FF5CB6360A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25" name="Rectangle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62B7DA-2904-488F-A992-819810EBF325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26" name="Rectangle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FE2DD67-C267-4951-AEE2-9142AAB707DA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27" name="Rectangle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1D61E4-5B67-4B97-9235-431D6FE0CE0B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28" name="Rectangle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0BE82A-6C95-4D4B-BF2D-8B0E70C3FD58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29" name="Rectangle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C6F55D-8125-437E-85CF-C96366EA3FED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30" name="Rectangle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982826F-3F4D-443C-A11B-304FE7EEB183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31" name="Graphic 30" descr="User with solid fill">
          <a:extLst>
            <a:ext uri="{FF2B5EF4-FFF2-40B4-BE49-F238E27FC236}">
              <a16:creationId xmlns:a16="http://schemas.microsoft.com/office/drawing/2014/main" id="{F90D3036-2A50-46D3-956A-2F68A4DC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32" name="Graphic 31" descr="Bar graph with upward trend with solid fill">
          <a:extLst>
            <a:ext uri="{FF2B5EF4-FFF2-40B4-BE49-F238E27FC236}">
              <a16:creationId xmlns:a16="http://schemas.microsoft.com/office/drawing/2014/main" id="{B44C6793-5D53-41D0-BF3E-901755577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33" name="Graphic 32" descr="Male profile with solid fill">
          <a:extLst>
            <a:ext uri="{FF2B5EF4-FFF2-40B4-BE49-F238E27FC236}">
              <a16:creationId xmlns:a16="http://schemas.microsoft.com/office/drawing/2014/main" id="{CA3BDF7D-B625-45AD-86A3-F05AF7C5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60960</xdr:rowOff>
    </xdr:from>
    <xdr:to>
      <xdr:col>19</xdr:col>
      <xdr:colOff>335280</xdr:colOff>
      <xdr:row>5</xdr:row>
      <xdr:rowOff>7620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405F72E-720F-4622-9E12-7966A0A34E0F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Purchase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35" name="Graphic 34" descr="Presentation with bar chart with solid fill">
          <a:extLst>
            <a:ext uri="{FF2B5EF4-FFF2-40B4-BE49-F238E27FC236}">
              <a16:creationId xmlns:a16="http://schemas.microsoft.com/office/drawing/2014/main" id="{CA08C5E5-D37D-4784-8AD1-7DBCAB41D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36" name="Graphic 35" descr="Medicine with solid fill">
          <a:extLst>
            <a:ext uri="{FF2B5EF4-FFF2-40B4-BE49-F238E27FC236}">
              <a16:creationId xmlns:a16="http://schemas.microsoft.com/office/drawing/2014/main" id="{B7556BD9-A02D-42E3-A9F2-5CB726F4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37" name="Graphic 36" descr="List with solid fill">
          <a:extLst>
            <a:ext uri="{FF2B5EF4-FFF2-40B4-BE49-F238E27FC236}">
              <a16:creationId xmlns:a16="http://schemas.microsoft.com/office/drawing/2014/main" id="{5974BF0D-F370-4967-8613-2BED7526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38" name="Graphic 37" descr="House with solid fill">
          <a:extLst>
            <a:ext uri="{FF2B5EF4-FFF2-40B4-BE49-F238E27FC236}">
              <a16:creationId xmlns:a16="http://schemas.microsoft.com/office/drawing/2014/main" id="{86FBC401-0C38-44DB-98AF-DB12B471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39" name="Graphic 38" descr="Shopping cart with solid fill">
          <a:extLst>
            <a:ext uri="{FF2B5EF4-FFF2-40B4-BE49-F238E27FC236}">
              <a16:creationId xmlns:a16="http://schemas.microsoft.com/office/drawing/2014/main" id="{C51E5D5C-2B22-45C2-937F-92E213C0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0DAF2353-1ED9-433C-9F0E-3D6F2D915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00876F-B954-403D-A0CE-2A195FC309E8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2D921D-F8F2-4D60-B8B6-1F25EF81A466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B066F1-F252-41F6-9B26-BFE5977ED2F8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3F14D8-C0C7-49D4-8617-D6386CF28FC1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75DDB7-006A-4BA0-B03E-C27DE203362B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2FD1FF-2DCF-493D-9F89-B687B7DDD259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F77BAB-3F32-47E1-BB3F-8E0769BE9271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EBAB7E-0712-4882-889C-0A15A5F61318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2A1DD4-32E4-4CE2-8E93-EFCBD483AA6E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2336C0B4-5AE8-4B94-8727-214E38CB2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34B7D55B-0E1B-49FC-AFC5-FECA868F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2950E4A7-3AAA-4E1B-BFC1-6B895380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320040</xdr:colOff>
      <xdr:row>1</xdr:row>
      <xdr:rowOff>60960</xdr:rowOff>
    </xdr:from>
    <xdr:to>
      <xdr:col>20</xdr:col>
      <xdr:colOff>449580</xdr:colOff>
      <xdr:row>5</xdr:row>
      <xdr:rowOff>7620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CBB0A82-A6E0-4048-8B77-19A5A1F484F0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Sales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C4993FFD-9855-4D6F-8DE4-EBAE32962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A4FC6101-7895-41A1-AA7C-0C9F5AB29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F1D25B24-895D-4D20-BB36-4C1C3D04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04388AA3-6698-4FF9-BC29-0E39CCCB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E0B497D8-48BB-4B5A-9885-7461C4B6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426720</xdr:colOff>
      <xdr:row>1</xdr:row>
      <xdr:rowOff>76200</xdr:rowOff>
    </xdr:from>
    <xdr:to>
      <xdr:col>1</xdr:col>
      <xdr:colOff>1143000</xdr:colOff>
      <xdr:row>5</xdr:row>
      <xdr:rowOff>60960</xdr:rowOff>
    </xdr:to>
    <xdr:pic>
      <xdr:nvPicPr>
        <xdr:cNvPr id="2" name="Graphic 1" descr="Suburban scene with solid fill">
          <a:extLst>
            <a:ext uri="{FF2B5EF4-FFF2-40B4-BE49-F238E27FC236}">
              <a16:creationId xmlns:a16="http://schemas.microsoft.com/office/drawing/2014/main" id="{2378D431-2895-403D-810B-94729A72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59080"/>
          <a:ext cx="716280" cy="71628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4</xdr:row>
      <xdr:rowOff>152400</xdr:rowOff>
    </xdr:from>
    <xdr:to>
      <xdr:col>2</xdr:col>
      <xdr:colOff>15240</xdr:colOff>
      <xdr:row>7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8E00E7-13F1-4215-AC4C-182611D14E12}"/>
            </a:ext>
          </a:extLst>
        </xdr:cNvPr>
        <xdr:cNvSpPr/>
      </xdr:nvSpPr>
      <xdr:spPr>
        <a:xfrm>
          <a:off x="236220" y="883920"/>
          <a:ext cx="147066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>
    <xdr:from>
      <xdr:col>1</xdr:col>
      <xdr:colOff>243840</xdr:colOff>
      <xdr:row>9</xdr:row>
      <xdr:rowOff>114300</xdr:rowOff>
    </xdr:from>
    <xdr:to>
      <xdr:col>2</xdr:col>
      <xdr:colOff>0</xdr:colOff>
      <xdr:row>11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540930-AA0D-43E1-A02B-6B403CDD06BD}"/>
            </a:ext>
          </a:extLst>
        </xdr:cNvPr>
        <xdr:cNvSpPr/>
      </xdr:nvSpPr>
      <xdr:spPr>
        <a:xfrm>
          <a:off x="464820" y="176022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243840</xdr:colOff>
      <xdr:row>11</xdr:row>
      <xdr:rowOff>22860</xdr:rowOff>
    </xdr:from>
    <xdr:to>
      <xdr:col>2</xdr:col>
      <xdr:colOff>0</xdr:colOff>
      <xdr:row>12</xdr:row>
      <xdr:rowOff>121920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BDBF2F-7B40-4F2D-BCF0-B6A05E6B9F85}"/>
            </a:ext>
          </a:extLst>
        </xdr:cNvPr>
        <xdr:cNvSpPr/>
      </xdr:nvSpPr>
      <xdr:spPr>
        <a:xfrm>
          <a:off x="464820" y="2034540"/>
          <a:ext cx="122682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274320</xdr:colOff>
      <xdr:row>12</xdr:row>
      <xdr:rowOff>114300</xdr:rowOff>
    </xdr:from>
    <xdr:to>
      <xdr:col>2</xdr:col>
      <xdr:colOff>0</xdr:colOff>
      <xdr:row>14</xdr:row>
      <xdr:rowOff>30480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E673A2-F854-4B5D-9162-410A96006752}"/>
            </a:ext>
          </a:extLst>
        </xdr:cNvPr>
        <xdr:cNvSpPr/>
      </xdr:nvSpPr>
      <xdr:spPr>
        <a:xfrm>
          <a:off x="495300" y="23088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259080</xdr:colOff>
      <xdr:row>14</xdr:row>
      <xdr:rowOff>22860</xdr:rowOff>
    </xdr:from>
    <xdr:to>
      <xdr:col>2</xdr:col>
      <xdr:colOff>0</xdr:colOff>
      <xdr:row>15</xdr:row>
      <xdr:rowOff>121920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87A1F9-AE79-4F4A-A11E-E73B3661A0EB}"/>
            </a:ext>
          </a:extLst>
        </xdr:cNvPr>
        <xdr:cNvSpPr/>
      </xdr:nvSpPr>
      <xdr:spPr>
        <a:xfrm>
          <a:off x="480060" y="2583180"/>
          <a:ext cx="121158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266700</xdr:colOff>
      <xdr:row>15</xdr:row>
      <xdr:rowOff>114300</xdr:rowOff>
    </xdr:from>
    <xdr:to>
      <xdr:col>2</xdr:col>
      <xdr:colOff>0</xdr:colOff>
      <xdr:row>17</xdr:row>
      <xdr:rowOff>30480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1F25E8-5681-4475-8055-7AD5A01DF747}"/>
            </a:ext>
          </a:extLst>
        </xdr:cNvPr>
        <xdr:cNvSpPr/>
      </xdr:nvSpPr>
      <xdr:spPr>
        <a:xfrm>
          <a:off x="487680" y="285750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New</a:t>
          </a:r>
          <a:r>
            <a:rPr lang="en-AE" sz="1200" b="0" baseline="0">
              <a:solidFill>
                <a:schemeClr val="tx1">
                  <a:lumMod val="50000"/>
                  <a:lumOff val="50000"/>
                </a:schemeClr>
              </a:solidFill>
            </a:rPr>
            <a:t> Entry</a:t>
          </a:r>
          <a:endParaRPr lang="en-AE" sz="12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1</xdr:col>
      <xdr:colOff>251460</xdr:colOff>
      <xdr:row>17</xdr:row>
      <xdr:rowOff>22860</xdr:rowOff>
    </xdr:from>
    <xdr:to>
      <xdr:col>2</xdr:col>
      <xdr:colOff>0</xdr:colOff>
      <xdr:row>18</xdr:row>
      <xdr:rowOff>121920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7B834D-8135-452C-BB7A-762AF0C92605}"/>
            </a:ext>
          </a:extLst>
        </xdr:cNvPr>
        <xdr:cNvSpPr/>
      </xdr:nvSpPr>
      <xdr:spPr>
        <a:xfrm>
          <a:off x="472440" y="3131820"/>
          <a:ext cx="121920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274320</xdr:colOff>
      <xdr:row>20</xdr:row>
      <xdr:rowOff>22860</xdr:rowOff>
    </xdr:from>
    <xdr:to>
      <xdr:col>2</xdr:col>
      <xdr:colOff>0</xdr:colOff>
      <xdr:row>21</xdr:row>
      <xdr:rowOff>121920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A1118D-3348-450F-99A4-A1AE6C19A758}"/>
            </a:ext>
          </a:extLst>
        </xdr:cNvPr>
        <xdr:cNvSpPr/>
      </xdr:nvSpPr>
      <xdr:spPr>
        <a:xfrm>
          <a:off x="495300" y="3680460"/>
          <a:ext cx="11963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>
    <xdr:from>
      <xdr:col>1</xdr:col>
      <xdr:colOff>266700</xdr:colOff>
      <xdr:row>18</xdr:row>
      <xdr:rowOff>114300</xdr:rowOff>
    </xdr:from>
    <xdr:to>
      <xdr:col>2</xdr:col>
      <xdr:colOff>0</xdr:colOff>
      <xdr:row>20</xdr:row>
      <xdr:rowOff>30480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E91A5A-AC9C-47B3-B1DB-77BAA45DEA33}"/>
            </a:ext>
          </a:extLst>
        </xdr:cNvPr>
        <xdr:cNvSpPr/>
      </xdr:nvSpPr>
      <xdr:spPr>
        <a:xfrm>
          <a:off x="487680" y="3406140"/>
          <a:ext cx="120396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12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oneCell">
    <xdr:from>
      <xdr:col>1</xdr:col>
      <xdr:colOff>53340</xdr:colOff>
      <xdr:row>11</xdr:row>
      <xdr:rowOff>22860</xdr:rowOff>
    </xdr:from>
    <xdr:to>
      <xdr:col>1</xdr:col>
      <xdr:colOff>274320</xdr:colOff>
      <xdr:row>12</xdr:row>
      <xdr:rowOff>60960</xdr:rowOff>
    </xdr:to>
    <xdr:pic>
      <xdr:nvPicPr>
        <xdr:cNvPr id="12" name="Graphic 11" descr="User with solid fill">
          <a:extLst>
            <a:ext uri="{FF2B5EF4-FFF2-40B4-BE49-F238E27FC236}">
              <a16:creationId xmlns:a16="http://schemas.microsoft.com/office/drawing/2014/main" id="{B0E9151F-FCBE-4131-9DFC-9A8CE9BF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4320" y="20345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18</xdr:row>
      <xdr:rowOff>114300</xdr:rowOff>
    </xdr:from>
    <xdr:to>
      <xdr:col>1</xdr:col>
      <xdr:colOff>281940</xdr:colOff>
      <xdr:row>19</xdr:row>
      <xdr:rowOff>160020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4A9BA7EC-4FB6-469E-9100-923F7704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74320" y="34061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14</xdr:row>
      <xdr:rowOff>20460</xdr:rowOff>
    </xdr:from>
    <xdr:to>
      <xdr:col>1</xdr:col>
      <xdr:colOff>276720</xdr:colOff>
      <xdr:row>15</xdr:row>
      <xdr:rowOff>60960</xdr:rowOff>
    </xdr:to>
    <xdr:pic>
      <xdr:nvPicPr>
        <xdr:cNvPr id="14" name="Graphic 13" descr="Male profile with solid fill">
          <a:extLst>
            <a:ext uri="{FF2B5EF4-FFF2-40B4-BE49-F238E27FC236}">
              <a16:creationId xmlns:a16="http://schemas.microsoft.com/office/drawing/2014/main" id="{A506963C-5542-4AC8-B5E3-9434602FD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74320" y="2580780"/>
          <a:ext cx="223380" cy="22338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</xdr:colOff>
      <xdr:row>1</xdr:row>
      <xdr:rowOff>60960</xdr:rowOff>
    </xdr:from>
    <xdr:to>
      <xdr:col>20</xdr:col>
      <xdr:colOff>487680</xdr:colOff>
      <xdr:row>5</xdr:row>
      <xdr:rowOff>7620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CD4D59A-F307-4DA1-BFFE-FF9AE705B688}"/>
            </a:ext>
          </a:extLst>
        </xdr:cNvPr>
        <xdr:cNvSpPr/>
      </xdr:nvSpPr>
      <xdr:spPr>
        <a:xfrm>
          <a:off x="2011680" y="243840"/>
          <a:ext cx="120929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E" sz="3200" b="1">
              <a:solidFill>
                <a:schemeClr val="tx1"/>
              </a:solidFill>
            </a:rPr>
            <a:t>   Inventory Management</a:t>
          </a:r>
        </a:p>
      </xdr:txBody>
    </xdr:sp>
    <xdr:clientData/>
  </xdr:twoCellAnchor>
  <xdr:twoCellAnchor editAs="oneCell">
    <xdr:from>
      <xdr:col>1</xdr:col>
      <xdr:colOff>53340</xdr:colOff>
      <xdr:row>9</xdr:row>
      <xdr:rowOff>160020</xdr:rowOff>
    </xdr:from>
    <xdr:to>
      <xdr:col>1</xdr:col>
      <xdr:colOff>281940</xdr:colOff>
      <xdr:row>11</xdr:row>
      <xdr:rowOff>22860</xdr:rowOff>
    </xdr:to>
    <xdr:pic>
      <xdr:nvPicPr>
        <xdr:cNvPr id="16" name="Graphic 15" descr="Presentation with bar chart with solid fill">
          <a:extLst>
            <a:ext uri="{FF2B5EF4-FFF2-40B4-BE49-F238E27FC236}">
              <a16:creationId xmlns:a16="http://schemas.microsoft.com/office/drawing/2014/main" id="{563C495F-554A-4F99-8B28-C0E142E2D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74320" y="18059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12</xdr:row>
      <xdr:rowOff>152400</xdr:rowOff>
    </xdr:from>
    <xdr:to>
      <xdr:col>1</xdr:col>
      <xdr:colOff>243840</xdr:colOff>
      <xdr:row>13</xdr:row>
      <xdr:rowOff>160020</xdr:rowOff>
    </xdr:to>
    <xdr:pic>
      <xdr:nvPicPr>
        <xdr:cNvPr id="17" name="Graphic 16" descr="Medicine with solid fill">
          <a:extLst>
            <a:ext uri="{FF2B5EF4-FFF2-40B4-BE49-F238E27FC236}">
              <a16:creationId xmlns:a16="http://schemas.microsoft.com/office/drawing/2014/main" id="{242115ED-0E21-4B15-BE23-E13073D5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74320" y="234696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121920</xdr:rowOff>
    </xdr:from>
    <xdr:to>
      <xdr:col>1</xdr:col>
      <xdr:colOff>259080</xdr:colOff>
      <xdr:row>16</xdr:row>
      <xdr:rowOff>160020</xdr:rowOff>
    </xdr:to>
    <xdr:pic>
      <xdr:nvPicPr>
        <xdr:cNvPr id="18" name="Graphic 17" descr="List with solid fill">
          <a:extLst>
            <a:ext uri="{FF2B5EF4-FFF2-40B4-BE49-F238E27FC236}">
              <a16:creationId xmlns:a16="http://schemas.microsoft.com/office/drawing/2014/main" id="{9BFC64D5-A9F3-4782-9898-0626B6892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59080" y="286512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20</xdr:row>
      <xdr:rowOff>22860</xdr:rowOff>
    </xdr:from>
    <xdr:to>
      <xdr:col>1</xdr:col>
      <xdr:colOff>281940</xdr:colOff>
      <xdr:row>21</xdr:row>
      <xdr:rowOff>68580</xdr:rowOff>
    </xdr:to>
    <xdr:pic>
      <xdr:nvPicPr>
        <xdr:cNvPr id="19" name="Graphic 18" descr="House with solid fill">
          <a:extLst>
            <a:ext uri="{FF2B5EF4-FFF2-40B4-BE49-F238E27FC236}">
              <a16:creationId xmlns:a16="http://schemas.microsoft.com/office/drawing/2014/main" id="{17AB8D65-44B1-4854-B9D2-C5C2A9E0C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74320" y="3680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50940</xdr:colOff>
      <xdr:row>17</xdr:row>
      <xdr:rowOff>20460</xdr:rowOff>
    </xdr:from>
    <xdr:to>
      <xdr:col>1</xdr:col>
      <xdr:colOff>281940</xdr:colOff>
      <xdr:row>18</xdr:row>
      <xdr:rowOff>68580</xdr:rowOff>
    </xdr:to>
    <xdr:pic>
      <xdr:nvPicPr>
        <xdr:cNvPr id="20" name="Graphic 19" descr="Shopping cart with solid fill">
          <a:extLst>
            <a:ext uri="{FF2B5EF4-FFF2-40B4-BE49-F238E27FC236}">
              <a16:creationId xmlns:a16="http://schemas.microsoft.com/office/drawing/2014/main" id="{5E3F4E14-29BE-42D5-BC3A-6DFAE80A6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71920" y="3129420"/>
          <a:ext cx="231000" cy="231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9.379508101854" createdVersion="7" refreshedVersion="7" minRefreshableVersion="3" recordCount="9" xr:uid="{A78A34C1-7B94-456D-A116-FF3B9119E807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8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9.379508217593" createdVersion="7" refreshedVersion="7" minRefreshableVersion="3" recordCount="10" xr:uid="{4302208C-C270-4CB2-8AFD-8F6C7710AA83}">
  <cacheSource type="worksheet">
    <worksheetSource name="ProductsData"/>
  </cacheSource>
  <cacheFields count="4">
    <cacheField name="HSN Code" numFmtId="0">
      <sharedItems/>
    </cacheField>
    <cacheField name="Product Name" numFmtId="0">
      <sharedItems/>
    </cacheField>
    <cacheField name="Cost (₹)" numFmtId="0">
      <sharedItems containsSemiMixedTypes="0" containsString="0" containsNumber="1" containsInteger="1" minValue="18" maxValue="38000"/>
    </cacheField>
    <cacheField name="Selling Price (₹)" numFmtId="0">
      <sharedItems containsSemiMixedTypes="0" containsString="0" containsNumber="1" containsInteger="1" minValue="25" maxValue="4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9.379508333332" createdVersion="7" refreshedVersion="7" minRefreshableVersion="3" recordCount="14" xr:uid="{CCA0F6A3-5DEA-486B-91E2-E9E560532889}">
  <cacheSource type="worksheet">
    <worksheetSource name="Purchase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4">
      <sharedItems containsSemiMixedTypes="0" containsNonDate="0" containsDate="1" containsString="0" minDate="2026-02-01T00:00:00" maxDate="2026-05-07T00:00:00"/>
    </cacheField>
    <cacheField name="Units" numFmtId="0">
      <sharedItems containsSemiMixedTypes="0" containsString="0" containsNumber="1" containsInteger="1" minValue="11" maxValue="30"/>
    </cacheField>
    <cacheField name="Cost" numFmtId="0">
      <sharedItems containsSemiMixedTypes="0" containsString="0" containsNumber="1" containsInteger="1" minValue="18" maxValue="12500"/>
    </cacheField>
    <cacheField name="Amount" numFmtId="0">
      <sharedItems containsSemiMixedTypes="0" containsString="0" containsNumber="1" containsInteger="1" minValue="270" maxValue="26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9.379508449078" createdVersion="7" refreshedVersion="7" minRefreshableVersion="3" recordCount="14" xr:uid="{A0DA3F22-8E68-4F77-A0E9-248CCE9CB228}">
  <cacheSource type="worksheet">
    <worksheetSource name="SalesData"/>
  </cacheSource>
  <cacheFields count="9">
    <cacheField name="Cust_ID" numFmtId="0">
      <sharedItems containsSemiMixedTypes="0" containsString="0" containsNumber="1" containsInteger="1" minValue="100" maxValue="106"/>
    </cacheField>
    <cacheField name="Cust_name" numFmtId="0">
      <sharedItems count="7">
        <s v="Ram Sales"/>
        <s v="99store"/>
        <s v="Amit"/>
        <s v="Jain Tel."/>
        <s v="Rajesh Kumar"/>
        <s v="Atul Ltd."/>
        <s v="MK Tech."/>
      </sharedItems>
    </cacheField>
    <cacheField name="HSN Code" numFmtId="0">
      <sharedItems/>
    </cacheField>
    <cacheField name="Product Name" numFmtId="0">
      <sharedItems/>
    </cacheField>
    <cacheField name="Date" numFmtId="14">
      <sharedItems containsSemiMixedTypes="0" containsNonDate="0" containsDate="1" containsString="0" minDate="2026-06-01T00:00:00" maxDate="2026-06-02T00:00:00"/>
    </cacheField>
    <cacheField name="Stock(Units)" numFmtId="0">
      <sharedItems containsSemiMixedTypes="0" containsString="0" containsNumber="1" containsInteger="1" minValue="-5" maxValue="57"/>
    </cacheField>
    <cacheField name="Units" numFmtId="0">
      <sharedItems containsString="0" containsBlank="1" containsNumber="1" containsInteger="1" minValue="4" maxValue="20"/>
    </cacheField>
    <cacheField name="Price" numFmtId="0">
      <sharedItems containsSemiMixedTypes="0" containsString="0" containsNumber="1" containsInteger="1" minValue="25" maxValue="45500"/>
    </cacheField>
    <cacheField name="Amount" numFmtId="0">
      <sharedItems containsSemiMixedTypes="0" containsString="0" containsNumber="1" containsInteger="1" minValue="0" maxValue="22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han" refreshedDate="46209.379508564816" createdVersion="7" refreshedVersion="7" minRefreshableVersion="3" recordCount="14" xr:uid="{81143B2D-D08B-4DB6-9569-484AD50FDC66}">
  <cacheSource type="worksheet">
    <worksheetSource name="Table6"/>
  </cacheSource>
  <cacheFields count="8">
    <cacheField name="HSN Code" numFmtId="0">
      <sharedItems/>
    </cacheField>
    <cacheField name="Product Name" numFmtId="0">
      <sharedItems count="11">
        <s v="Mobile Phone"/>
        <s v="Laptop"/>
        <s v="Cotton T-Shirt"/>
        <s v="Leather Shoes"/>
        <s v="Wooden Office"/>
        <s v="Stainless Steel"/>
        <s v="Biscuits (Pack)"/>
        <s v="Tea (500 g Pack)"/>
        <s v="Electric Kettle"/>
        <s v="Face Cream"/>
        <s v=""/>
      </sharedItems>
    </cacheField>
    <cacheField name="Cost" numFmtId="0">
      <sharedItems containsMixedTypes="1" containsNumber="1" containsInteger="1" minValue="18" maxValue="38000"/>
    </cacheField>
    <cacheField name="Purchase Units" numFmtId="0">
      <sharedItems containsSemiMixedTypes="0" containsString="0" containsNumber="1" containsInteger="1" minValue="0" maxValue="61"/>
    </cacheField>
    <cacheField name="Sales Units" numFmtId="0">
      <sharedItems containsSemiMixedTypes="0" containsString="0" containsNumber="1" containsInteger="1" minValue="0" maxValue="24"/>
    </cacheField>
    <cacheField name="Stock" numFmtId="0">
      <sharedItems containsSemiMixedTypes="0" containsString="0" containsNumber="1" containsInteger="1" minValue="-5" maxValue="57"/>
    </cacheField>
    <cacheField name="Stock Amt" numFmtId="0">
      <sharedItems containsMixedTypes="1" containsNumber="1" containsInteger="1" minValue="-190000" maxValue="212500"/>
    </cacheField>
    <cacheField name="Not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"/>
    <s v="Ram Sales"/>
    <s v="ram@gmail.com"/>
    <s v="Delhi, India"/>
  </r>
  <r>
    <n v="101"/>
    <s v="Atul Ltd."/>
    <s v="Atul@gmail.com"/>
    <s v="121102, Palwal, HR"/>
  </r>
  <r>
    <n v="102"/>
    <s v="MK Tech."/>
    <s v="MK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"/>
    <s v="ami@gmail.com"/>
    <s v="Gurgaon, Sec-15"/>
  </r>
  <r>
    <n v="106"/>
    <s v="Jain Tel."/>
    <s v="jai@gmail.com"/>
    <s v="Janpath, New Delhi"/>
  </r>
  <r>
    <n v="107"/>
    <s v="harry "/>
    <s v="harry156@gmail.com"/>
    <s v="Janpath, New Delhi"/>
  </r>
  <r>
    <n v="108"/>
    <s v="potter"/>
    <s v="potter154@gmail.com"/>
    <s v="Janpath, New Delh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Mobile Phone"/>
    <n v="12500"/>
    <n v="15999"/>
  </r>
  <r>
    <s v="N1002"/>
    <s v="Laptop"/>
    <n v="38000"/>
    <n v="45500"/>
  </r>
  <r>
    <s v="N1003"/>
    <s v="Cotton T-Shirt"/>
    <n v="220"/>
    <n v="399"/>
  </r>
  <r>
    <s v="N1004"/>
    <s v="Leather Shoes"/>
    <n v="1100"/>
    <n v="1799"/>
  </r>
  <r>
    <s v="N1005"/>
    <s v="Wooden Office"/>
    <n v="2500"/>
    <n v="3499"/>
  </r>
  <r>
    <s v="N1006"/>
    <s v="Stainless Steel"/>
    <n v="180"/>
    <n v="299"/>
  </r>
  <r>
    <s v="N1007"/>
    <s v="Biscuits (Pack)"/>
    <n v="18"/>
    <n v="25"/>
  </r>
  <r>
    <s v="N1008"/>
    <s v="Tea (500 g Pack)"/>
    <n v="180"/>
    <n v="260"/>
  </r>
  <r>
    <s v="N1009"/>
    <s v="Electric Kettle"/>
    <n v="750"/>
    <n v="1099"/>
  </r>
  <r>
    <s v="N1010"/>
    <s v="Face Cream"/>
    <n v="140"/>
    <n v="2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1001"/>
    <s v="Mobile Phone"/>
    <s v="TechZone Distributors"/>
    <d v="2026-02-01T00:00:00"/>
    <n v="21"/>
    <n v="12500"/>
    <n v="262500"/>
  </r>
  <r>
    <s v="N1003"/>
    <s v="Cotton T-Shirt"/>
    <s v="Fashion Hub"/>
    <d v="2026-02-15T00:00:00"/>
    <n v="20"/>
    <n v="220"/>
    <n v="4400"/>
  </r>
  <r>
    <s v="N1005"/>
    <s v="Wooden Office"/>
    <s v="Comfort Furniture"/>
    <d v="2026-05-06T00:00:00"/>
    <n v="30"/>
    <n v="2500"/>
    <n v="75000"/>
  </r>
  <r>
    <s v="N1007"/>
    <s v="Biscuits (Pack)"/>
    <s v="Fresh Foods"/>
    <d v="2026-03-02T00:00:00"/>
    <n v="15"/>
    <n v="18"/>
    <n v="270"/>
  </r>
  <r>
    <s v="N1007"/>
    <s v="Biscuits (Pack)"/>
    <s v="Fresh Foods"/>
    <d v="2026-03-02T00:00:00"/>
    <n v="16"/>
    <n v="18"/>
    <n v="288"/>
  </r>
  <r>
    <s v="N1006"/>
    <s v="Stainless Steel"/>
    <s v="SteelMart"/>
    <d v="2026-03-02T00:00:00"/>
    <n v="14"/>
    <n v="180"/>
    <n v="2520"/>
  </r>
  <r>
    <s v="N1008"/>
    <s v="Tea (500 g Pack)"/>
    <s v="Green Leaf Suppliers"/>
    <d v="2026-03-02T00:00:00"/>
    <n v="12"/>
    <n v="180"/>
    <n v="2160"/>
  </r>
  <r>
    <s v="N1003"/>
    <s v="Cotton T-Shirt"/>
    <s v="Fashion Hub"/>
    <d v="2026-03-02T00:00:00"/>
    <n v="25"/>
    <n v="220"/>
    <n v="5500"/>
  </r>
  <r>
    <s v="N1004"/>
    <s v="Leather Shoes"/>
    <s v="StepUp Traders"/>
    <d v="2026-03-02T00:00:00"/>
    <n v="18"/>
    <n v="1100"/>
    <n v="19800"/>
  </r>
  <r>
    <s v="N1008"/>
    <s v="Tea (500 g Pack)"/>
    <s v="Green Leaf Suppliers"/>
    <d v="2026-03-02T00:00:00"/>
    <n v="16"/>
    <n v="180"/>
    <n v="2880"/>
  </r>
  <r>
    <s v="N1007"/>
    <s v="Biscuits (Pack)"/>
    <s v="Fresh Foods"/>
    <d v="2026-03-02T00:00:00"/>
    <n v="15"/>
    <n v="18"/>
    <n v="270"/>
  </r>
  <r>
    <s v="N1006"/>
    <s v="Stainless Steel"/>
    <s v="SteelMart"/>
    <d v="2026-03-02T00:00:00"/>
    <n v="25"/>
    <n v="180"/>
    <n v="4500"/>
  </r>
  <r>
    <s v="N1004"/>
    <s v="Leather Shoes"/>
    <s v="StepUp Traders"/>
    <d v="2026-03-02T00:00:00"/>
    <n v="11"/>
    <n v="1100"/>
    <n v="12100"/>
  </r>
  <r>
    <s v="N1003"/>
    <s v="Cotton T-Shirt"/>
    <s v="Fashion Hub"/>
    <d v="2026-03-02T00:00:00"/>
    <n v="16"/>
    <n v="220"/>
    <n v="35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00"/>
    <x v="0"/>
    <s v="N1007"/>
    <s v="Biscuits (Pack)"/>
    <d v="2026-06-01T00:00:00"/>
    <n v="30"/>
    <n v="12"/>
    <n v="25"/>
    <n v="300"/>
  </r>
  <r>
    <n v="103"/>
    <x v="1"/>
    <s v="N1005"/>
    <s v="Wooden Office"/>
    <d v="2026-06-01T00:00:00"/>
    <n v="11"/>
    <n v="5"/>
    <n v="3499"/>
    <n v="17495"/>
  </r>
  <r>
    <n v="105"/>
    <x v="2"/>
    <s v="N1005"/>
    <s v="Wooden Office"/>
    <d v="2026-06-01T00:00:00"/>
    <n v="11"/>
    <n v="10"/>
    <n v="3499"/>
    <n v="34990"/>
  </r>
  <r>
    <n v="106"/>
    <x v="3"/>
    <s v="N1008"/>
    <s v="Tea (500 g Pack)"/>
    <d v="2026-06-01T00:00:00"/>
    <n v="20"/>
    <n v="4"/>
    <n v="260"/>
    <n v="1040"/>
  </r>
  <r>
    <n v="104"/>
    <x v="4"/>
    <s v="N1002"/>
    <s v="Laptop"/>
    <d v="2026-06-01T00:00:00"/>
    <n v="-5"/>
    <n v="5"/>
    <n v="45500"/>
    <n v="227500"/>
  </r>
  <r>
    <n v="101"/>
    <x v="5"/>
    <s v="N1003"/>
    <s v="Cotton T-Shirt"/>
    <d v="2026-06-01T00:00:00"/>
    <n v="57"/>
    <n v="4"/>
    <n v="399"/>
    <n v="1596"/>
  </r>
  <r>
    <n v="105"/>
    <x v="2"/>
    <s v="N1006"/>
    <s v="Stainless Steel"/>
    <d v="2026-06-01T00:00:00"/>
    <n v="35"/>
    <n v="4"/>
    <n v="299"/>
    <n v="1196"/>
  </r>
  <r>
    <n v="102"/>
    <x v="6"/>
    <s v="N1001"/>
    <s v="Mobile Phone"/>
    <d v="2026-06-01T00:00:00"/>
    <n v="17"/>
    <n v="4"/>
    <n v="15999"/>
    <n v="63996"/>
  </r>
  <r>
    <n v="101"/>
    <x v="5"/>
    <s v="N1004"/>
    <s v="Leather Shoes"/>
    <d v="2026-06-01T00:00:00"/>
    <n v="5"/>
    <n v="4"/>
    <n v="1799"/>
    <n v="7196"/>
  </r>
  <r>
    <n v="100"/>
    <x v="0"/>
    <s v="N1002"/>
    <s v="Laptop"/>
    <d v="2026-06-01T00:00:00"/>
    <n v="-5"/>
    <m/>
    <n v="45500"/>
    <n v="0"/>
  </r>
  <r>
    <n v="105"/>
    <x v="2"/>
    <s v="N1007"/>
    <s v="Biscuits (Pack)"/>
    <d v="2026-06-01T00:00:00"/>
    <n v="30"/>
    <n v="4"/>
    <n v="25"/>
    <n v="100"/>
  </r>
  <r>
    <n v="101"/>
    <x v="5"/>
    <s v="N1008"/>
    <s v="Tea (500 g Pack)"/>
    <d v="2026-06-01T00:00:00"/>
    <n v="20"/>
    <n v="4"/>
    <n v="260"/>
    <n v="1040"/>
  </r>
  <r>
    <n v="105"/>
    <x v="2"/>
    <s v="N1005"/>
    <s v="Wooden Office"/>
    <d v="2026-06-01T00:00:00"/>
    <n v="11"/>
    <n v="4"/>
    <n v="3499"/>
    <n v="13996"/>
  </r>
  <r>
    <n v="104"/>
    <x v="4"/>
    <s v="N1004"/>
    <s v="Leather Shoes"/>
    <d v="2026-06-01T00:00:00"/>
    <n v="5"/>
    <n v="20"/>
    <n v="1799"/>
    <n v="3598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1001"/>
    <x v="0"/>
    <n v="12500"/>
    <n v="21"/>
    <n v="4"/>
    <n v="17"/>
    <n v="212500"/>
    <s v=""/>
  </r>
  <r>
    <s v="N1002"/>
    <x v="1"/>
    <n v="38000"/>
    <n v="0"/>
    <n v="5"/>
    <n v="-5"/>
    <n v="-190000"/>
    <s v=""/>
  </r>
  <r>
    <s v="N1003"/>
    <x v="2"/>
    <n v="220"/>
    <n v="61"/>
    <n v="4"/>
    <n v="57"/>
    <n v="12540"/>
    <s v="📞 Mobile Phone Needs to Re-Order ! PH  9012345678"/>
  </r>
  <r>
    <s v="N1004"/>
    <x v="3"/>
    <n v="1100"/>
    <n v="29"/>
    <n v="24"/>
    <n v="5"/>
    <n v="5500"/>
    <s v=""/>
  </r>
  <r>
    <s v="N1005"/>
    <x v="4"/>
    <n v="2500"/>
    <n v="30"/>
    <n v="19"/>
    <n v="11"/>
    <n v="27500"/>
    <s v=""/>
  </r>
  <r>
    <s v="N1006"/>
    <x v="5"/>
    <n v="180"/>
    <n v="39"/>
    <n v="4"/>
    <n v="35"/>
    <n v="6300"/>
    <s v=""/>
  </r>
  <r>
    <s v="N1007"/>
    <x v="6"/>
    <n v="18"/>
    <n v="46"/>
    <n v="16"/>
    <n v="30"/>
    <n v="540"/>
    <s v=""/>
  </r>
  <r>
    <s v="N1008"/>
    <x v="7"/>
    <n v="180"/>
    <n v="28"/>
    <n v="8"/>
    <n v="20"/>
    <n v="3600"/>
    <s v=""/>
  </r>
  <r>
    <s v="N1009"/>
    <x v="8"/>
    <n v="750"/>
    <n v="0"/>
    <n v="0"/>
    <n v="0"/>
    <n v="0"/>
    <s v=""/>
  </r>
  <r>
    <s v="N1010"/>
    <x v="9"/>
    <n v="140"/>
    <n v="0"/>
    <n v="0"/>
    <n v="0"/>
    <n v="0"/>
    <s v="📞 Tea (500 g Pack) Needs to Re-Order ! PH  9543216780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6578D-0D06-499C-A8CD-BDBEF976ED20}" name="PivotTable9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1:B32" firstHeaderRow="1" firstDataRow="1" firstDataCol="1"/>
  <pivotFields count="8">
    <pivotField showAll="0"/>
    <pivotField axis="axisRow" showAll="0">
      <items count="12">
        <item h="1" x="10"/>
        <item x="6"/>
        <item x="2"/>
        <item x="8"/>
        <item x="9"/>
        <item x="1"/>
        <item x="3"/>
        <item x="0"/>
        <item x="5"/>
        <item x="7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DE33D-D7E7-4E79-BF51-F70EF43975E6}" name="PivotTable8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E10:F16" firstHeaderRow="1" firstDataRow="1" firstDataCol="1"/>
  <pivotFields count="9">
    <pivotField showAll="0"/>
    <pivotField axis="axisRow" showAll="0" measureFilter="1" sortType="descending">
      <items count="8">
        <item x="1"/>
        <item x="2"/>
        <item x="5"/>
        <item x="3"/>
        <item x="6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dataField="1" showAll="0"/>
  </pivotFields>
  <rowFields count="1">
    <field x="1"/>
  </rowFields>
  <rowItems count="6">
    <i>
      <x v="5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Sum of Amount" fld="8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F8349-D130-4621-B458-83BEB801B026}" name="PivotTable7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E2:F8" firstHeaderRow="1" firstDataRow="1" firstDataCol="1"/>
  <pivotFields count="8">
    <pivotField showAll="0"/>
    <pivotField axis="axisRow" showAll="0" measureFilter="1" sortType="descending">
      <items count="12">
        <item x="10"/>
        <item x="6"/>
        <item x="2"/>
        <item x="8"/>
        <item x="9"/>
        <item x="1"/>
        <item x="3"/>
        <item x="0"/>
        <item x="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6"/>
    </i>
    <i>
      <x v="10"/>
    </i>
    <i>
      <x v="1"/>
    </i>
    <i>
      <x v="9"/>
    </i>
    <i>
      <x v="5"/>
    </i>
    <i t="grand">
      <x/>
    </i>
  </rowItems>
  <colItems count="1">
    <i/>
  </colItems>
  <dataFields count="1">
    <dataField name="Sum of Sales Unit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FF51C-6811-437C-B446-67D64D2ED28F}" name="PivotTable6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A1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t" fld="6" baseField="0" baseItem="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536D8-9A4A-41D4-827A-631EEA56EADA}" name="PivotTable5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5AD6D-31E6-492C-856F-6E2D2558D7C9}" name="PivotTable4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91DE-2D35-4FDB-9485-8E1F1B808877}" name="PivotTable3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A6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68E79-BD5E-4C25-8DA5-89D14EDE4602}" name="PivotTable1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1DF99-DE9B-4B17-85AA-F07239A38EA8}" name="CustomersData" displayName="CustomersData" ref="D7:G16" totalsRowShown="0" headerRowDxfId="46">
  <autoFilter ref="D7:G16" xr:uid="{6181DF99-DE9B-4B17-85AA-F07239A38EA8}"/>
  <tableColumns count="4">
    <tableColumn id="1" xr3:uid="{A45F8E28-738E-42A2-9AC9-8452A91A8999}" name="Cust_ID" dataDxfId="45"/>
    <tableColumn id="2" xr3:uid="{C68581BC-7655-43EA-8598-1CBDBA8C6991}" name="Name" dataDxfId="44"/>
    <tableColumn id="3" xr3:uid="{370F187D-73D0-4516-AA56-CD8643FA229D}" name="Email" dataDxfId="43" dataCellStyle="Hyperlink"/>
    <tableColumn id="4" xr3:uid="{C1F4C9B6-1A75-494D-A35C-56A57F4BC267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9D1F3-49A2-49DB-8A6F-C42739E3106F}" name="ProductsData" displayName="ProductsData" ref="D7:G17" totalsRowShown="0">
  <autoFilter ref="D7:G17" xr:uid="{B839D1F3-49A2-49DB-8A6F-C42739E3106F}"/>
  <tableColumns count="4">
    <tableColumn id="1" xr3:uid="{F6DA4982-D711-46DD-AD50-5C3E09A09E70}" name="HSN Code" dataDxfId="41"/>
    <tableColumn id="2" xr3:uid="{84DD044B-793A-4A95-9C85-B0503DCE5395}" name="Product Name" dataDxfId="40"/>
    <tableColumn id="3" xr3:uid="{EA4F1F43-69A0-4B51-BCBD-2ADE597C6E8D}" name="Cost (₹)" dataDxfId="39"/>
    <tableColumn id="4" xr3:uid="{663499E8-2481-4B46-82E3-00A1D537FC8E}" name="Selling Price (₹)" dataDxfId="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E447B-DFF5-454B-B574-34B361F86C7A}" name="VenderData" displayName="VenderData" ref="D7:I17" totalsRowShown="0" headerRowDxfId="37" dataDxfId="36">
  <autoFilter ref="D7:I17" xr:uid="{BEEE447B-DFF5-454B-B574-34B361F86C7A}"/>
  <tableColumns count="6">
    <tableColumn id="1" xr3:uid="{1B6E2E8F-F5E0-4106-A41E-4AD0C9A1DB82}" name="HSN Code" dataDxfId="35"/>
    <tableColumn id="2" xr3:uid="{D6013CB2-27E2-4591-8818-CAFEC02BC6DA}" name="Product Name" dataDxfId="34"/>
    <tableColumn id="3" xr3:uid="{24A4F1C6-FB05-4AEF-BC0F-43BF14B6A8D5}" name="Vendor Name" dataDxfId="33"/>
    <tableColumn id="4" xr3:uid="{D66F5F5B-37A0-4F83-9980-27F4A4F16EC7}" name="Phone Number" dataDxfId="32"/>
    <tableColumn id="5" xr3:uid="{FFC58019-8270-4D40-90A8-D446CA360A79}" name="Address" dataDxfId="31"/>
    <tableColumn id="6" xr3:uid="{592ACD28-DF2F-4CB6-80D5-C9EDF3B8E6FC}" name="Column1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8A6F27-AEAB-424C-91A6-8F58D6052513}" name="PurchaseData" displayName="PurchaseData" ref="D7:J21" totalsRowShown="0" headerRowDxfId="29" dataDxfId="28">
  <autoFilter ref="D7:J21" xr:uid="{7A8A6F27-AEAB-424C-91A6-8F58D6052513}"/>
  <tableColumns count="7">
    <tableColumn id="1" xr3:uid="{CFA72E1E-84A1-42C1-9DD0-2DC8A9120BD7}" name="HSN Code" dataDxfId="27"/>
    <tableColumn id="2" xr3:uid="{56633F1F-BEE8-4100-8F83-58F240A1AFC9}" name="Product Name" dataDxfId="26">
      <calculatedColumnFormula>IFERROR(VLOOKUP(PurchaseData[[#This Row],[HSN Code]],ProductsData[#All],2,0),"")</calculatedColumnFormula>
    </tableColumn>
    <tableColumn id="3" xr3:uid="{6AF882E1-A3F4-4118-B3A6-91168C538C21}" name="Vendor" dataDxfId="25">
      <calculatedColumnFormula>IFERROR(VLOOKUP(PurchaseData[[#This Row],[HSN Code]],VenderData[#All],3,0),"")</calculatedColumnFormula>
    </tableColumn>
    <tableColumn id="4" xr3:uid="{D7757CD7-2050-4EE3-8EEE-2AEDB5082C1D}" name="Date" dataDxfId="24"/>
    <tableColumn id="5" xr3:uid="{24BBADC2-978F-4D3C-BADB-63C27C2F9ED1}" name="Units" dataDxfId="23"/>
    <tableColumn id="6" xr3:uid="{D4522A6E-3A55-439A-8841-85497E928224}" name="Cost" dataDxfId="22">
      <calculatedColumnFormula>IFERROR(VLOOKUP(PurchaseData[[#This Row],[HSN Code]],ProductsData[#All],3,0),"")</calculatedColumnFormula>
    </tableColumn>
    <tableColumn id="7" xr3:uid="{01684C35-5878-4C0A-B167-89C11C1101BB}" name="Amount" dataDxfId="21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75BF66-C74B-4E02-8AA6-4E3620CC1ECC}" name="SalesData" displayName="SalesData" ref="D7:L21" totalsRowShown="0" headerRowDxfId="20" dataDxfId="19">
  <autoFilter ref="D7:L21" xr:uid="{6C75BF66-C74B-4E02-8AA6-4E3620CC1ECC}"/>
  <tableColumns count="9">
    <tableColumn id="1" xr3:uid="{46CCE65A-81A7-4419-A94D-63CE9297B1A0}" name="Cust_ID" dataDxfId="18"/>
    <tableColumn id="2" xr3:uid="{3F23D8B9-E307-4AB0-9A87-4165DEA19E59}" name="Cust_name" dataDxfId="17">
      <calculatedColumnFormula>IFERROR(VLOOKUP(SalesData[[#This Row],[Cust_ID]],CustomersData[#All],2,0),"")</calculatedColumnFormula>
    </tableColumn>
    <tableColumn id="3" xr3:uid="{AC27A9EC-242E-4168-B40E-E16223BA5555}" name="HSN Code" dataDxfId="16"/>
    <tableColumn id="4" xr3:uid="{07864BB4-A5FF-4DED-A921-C03F9F8B02F7}" name="Product Name" dataDxfId="15">
      <calculatedColumnFormula>IFERROR(VLOOKUP(SalesData[[#This Row],[HSN Code]],ProductsData[#All],2,0),"")</calculatedColumnFormula>
    </tableColumn>
    <tableColumn id="5" xr3:uid="{BC3F6FBC-20CB-42B9-B277-FCE8768179E7}" name="Date" dataDxfId="14"/>
    <tableColumn id="6" xr3:uid="{35CF9929-EF25-40F4-BE9F-FCE55F45E60B}" name="Stock(Units)" dataDxfId="13">
      <calculatedColumnFormula>IFERROR(VLOOKUP(SalesData[[#This Row],[HSN Code]],Table6[#All],6,0),"")</calculatedColumnFormula>
    </tableColumn>
    <tableColumn id="7" xr3:uid="{5DD29195-4DF8-4159-BBEE-B7F178961DCA}" name="Units" dataDxfId="12"/>
    <tableColumn id="8" xr3:uid="{432B92B0-56E0-4ABB-961D-A3F0E9BF425E}" name="Price" dataDxfId="11">
      <calculatedColumnFormula>IFERROR(VLOOKUP(SalesData[[#This Row],[HSN Code]],ProductsData[#All],4,0),"")</calculatedColumnFormula>
    </tableColumn>
    <tableColumn id="9" xr3:uid="{3116DC58-E2FF-4590-8943-F637ADDEFCC7}" name="Amount" dataDxfId="10">
      <calculatedColumnFormula>IFERROR(SalesData[[#This Row],[Price]]*SalesData[[#This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6AA73-558E-49A5-B900-893869D4B40E}" name="Table6" displayName="Table6" ref="D7:K21" totalsRowShown="0" headerRowDxfId="9" dataDxfId="8">
  <autoFilter ref="D7:K21" xr:uid="{7916AA73-558E-49A5-B900-893869D4B40E}"/>
  <tableColumns count="8">
    <tableColumn id="1" xr3:uid="{C13318D2-2459-4CF4-A961-EA6A4F9E4C8C}" name="HSN Code" dataDxfId="7">
      <calculatedColumnFormula>IFERROR(ProductsData[[#This Row],[HSN Code]],"")</calculatedColumnFormula>
    </tableColumn>
    <tableColumn id="2" xr3:uid="{CA3FA131-70F2-45B0-9E44-CFB756971083}" name="Product Name" dataDxfId="6">
      <calculatedColumnFormula>IFERROR(ProductsData[[#This Row],[Product Name]],"")</calculatedColumnFormula>
    </tableColumn>
    <tableColumn id="3" xr3:uid="{DB489217-851D-4ECA-9747-E2EE8E5605A9}" name="Cost" dataDxfId="5">
      <calculatedColumnFormula>IFERROR(ProductsData[[#This Row],[Cost (₹)]],"")</calculatedColumnFormula>
    </tableColumn>
    <tableColumn id="8" xr3:uid="{BA5FB2AB-DF7A-4AD1-9607-CA0D8B4AF24D}" name="Purchase Units" dataDxfId="4">
      <calculatedColumnFormula>SUMIF(PurchaseData[Product Name],Table6[[#This Row],[Product Name]],PurchaseData[Units])</calculatedColumnFormula>
    </tableColumn>
    <tableColumn id="4" xr3:uid="{83DF66E5-FA5A-4E3B-9A76-E73B8CCCB5E6}" name="Sales Units" dataDxfId="3">
      <calculatedColumnFormula>SUMIF(SalesData[Product Name],Table6[[#This Row],[Product Name]],SalesData[Units])</calculatedColumnFormula>
    </tableColumn>
    <tableColumn id="5" xr3:uid="{6CACB9E5-F2A8-47CF-B2BC-90639B05D3D8}" name="Stock" dataDxfId="2">
      <calculatedColumnFormula>Table6[[#This Row],[Purchase Units]]-Table6[[#This Row],[Sales Units]]</calculatedColumnFormula>
    </tableColumn>
    <tableColumn id="6" xr3:uid="{B1A45E0B-45B0-4990-A293-FCE7ABF8AF90}" name="Stock Amt" dataDxfId="1">
      <calculatedColumnFormula>IFERROR(Table6[[#This Row],[Cost]]*Table6[[#This Row],[Stock]],"")</calculatedColumnFormula>
    </tableColumn>
    <tableColumn id="7" xr3:uid="{3B19BB58-9A71-475D-B2AA-80ECBCD482B5}" name="Notification" dataDxfId="0">
      <calculatedColumnFormula>IFERROR(IF(I7&lt;5,"📞 "&amp;E6&amp;" Needs to Re-Order ! PH  "&amp;VLOOKUP(Table6[[#This Row],[HSN Code]],VenderData[#All],4,0),""),"")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rry156@gmail.com" TargetMode="External"/><Relationship Id="rId3" Type="http://schemas.openxmlformats.org/officeDocument/2006/relationships/hyperlink" Target="mailto:MK@gmail.com" TargetMode="External"/><Relationship Id="rId7" Type="http://schemas.openxmlformats.org/officeDocument/2006/relationships/hyperlink" Target="mailto:jai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tul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ami@gmail.com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mailto:raj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99s@gmail.com" TargetMode="External"/><Relationship Id="rId9" Type="http://schemas.openxmlformats.org/officeDocument/2006/relationships/hyperlink" Target="mailto:potter154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2FB1-79F3-4FCF-BA03-E2D48904A8F9}">
  <dimension ref="B1:Q65"/>
  <sheetViews>
    <sheetView showGridLines="0" showRowColHeaders="0" tabSelected="1" workbookViewId="0"/>
  </sheetViews>
  <sheetFormatPr defaultRowHeight="14.4"/>
  <cols>
    <col min="1" max="1" width="3.21875" style="1" customWidth="1"/>
    <col min="2" max="2" width="21.44140625" style="2" customWidth="1"/>
    <col min="3" max="3" width="4.6640625" style="1" customWidth="1"/>
    <col min="4" max="10" width="8.88671875" style="1"/>
    <col min="11" max="11" width="12.21875" style="1" customWidth="1"/>
    <col min="12" max="16" width="8.88671875" style="1"/>
    <col min="17" max="17" width="8.77734375" style="1" customWidth="1"/>
    <col min="18" max="16384" width="8.88671875" style="1"/>
  </cols>
  <sheetData>
    <row r="1" spans="12:17" s="1" customFormat="1"/>
    <row r="13" spans="12:17">
      <c r="L13" s="27" t="s">
        <v>100</v>
      </c>
      <c r="M13" s="26"/>
      <c r="N13" s="26"/>
      <c r="O13" s="26"/>
      <c r="P13" s="26"/>
      <c r="Q13" s="26"/>
    </row>
    <row r="14" spans="12:17">
      <c r="L14" s="29" t="str" cm="1">
        <f t="array" ref="L14:L15">_xlfn._xlws.FILTER(Table6[Notification],Table6[Notification]&lt;&gt;"")</f>
        <v>📞 Mobile Phone Needs to Re-Order ! PH  9012345678</v>
      </c>
      <c r="M14" s="2"/>
      <c r="N14" s="2"/>
      <c r="O14" s="2"/>
      <c r="P14" s="2"/>
      <c r="Q14" s="2"/>
    </row>
    <row r="15" spans="12:17">
      <c r="L15" s="29" t="str">
        <v>📞 Tea (500 g Pack) Needs to Re-Order ! PH  9543216780</v>
      </c>
      <c r="M15" s="2"/>
      <c r="N15" s="2"/>
      <c r="O15" s="2"/>
      <c r="P15" s="2"/>
      <c r="Q15" s="2"/>
    </row>
    <row r="16" spans="12:17">
      <c r="L16" s="29"/>
      <c r="M16" s="2"/>
      <c r="N16" s="2"/>
      <c r="O16" s="2"/>
      <c r="P16" s="2"/>
      <c r="Q16" s="2"/>
    </row>
    <row r="17" spans="12:17">
      <c r="L17" s="29"/>
      <c r="M17" s="2"/>
      <c r="N17" s="2"/>
      <c r="O17" s="2"/>
      <c r="P17" s="2"/>
      <c r="Q17" s="2"/>
    </row>
    <row r="18" spans="12:17">
      <c r="L18" s="29"/>
      <c r="M18" s="2"/>
      <c r="N18" s="2"/>
      <c r="O18" s="2"/>
      <c r="P18" s="2"/>
      <c r="Q18" s="2"/>
    </row>
    <row r="19" spans="12:17">
      <c r="L19" s="29"/>
      <c r="M19" s="2"/>
      <c r="N19" s="2"/>
      <c r="O19" s="2"/>
      <c r="P19" s="2"/>
      <c r="Q19" s="2"/>
    </row>
    <row r="20" spans="12:17">
      <c r="L20" s="29"/>
      <c r="M20" s="2"/>
      <c r="N20" s="2"/>
      <c r="O20" s="2"/>
      <c r="P20" s="2"/>
      <c r="Q20" s="2"/>
    </row>
    <row r="21" spans="12:17">
      <c r="L21" s="29"/>
      <c r="M21" s="2"/>
      <c r="N21" s="2"/>
      <c r="O21" s="2"/>
      <c r="P21" s="2"/>
      <c r="Q21" s="2"/>
    </row>
    <row r="22" spans="12:17">
      <c r="L22" s="29"/>
      <c r="M22" s="2"/>
      <c r="N22" s="2"/>
      <c r="O22" s="2"/>
      <c r="P22" s="2"/>
      <c r="Q22" s="2"/>
    </row>
    <row r="23" spans="12:17">
      <c r="L23" s="29"/>
      <c r="M23" s="2"/>
      <c r="N23" s="2"/>
      <c r="O23" s="2"/>
      <c r="P23" s="2"/>
      <c r="Q23" s="2"/>
    </row>
    <row r="24" spans="12:17">
      <c r="L24" s="29"/>
      <c r="M24" s="2"/>
      <c r="N24" s="2"/>
      <c r="O24" s="2"/>
      <c r="P24" s="2"/>
      <c r="Q24" s="2"/>
    </row>
    <row r="25" spans="12:17">
      <c r="L25" s="29"/>
      <c r="M25" s="2"/>
      <c r="N25" s="2"/>
      <c r="O25" s="2"/>
      <c r="P25" s="2"/>
      <c r="Q25" s="2"/>
    </row>
    <row r="26" spans="12:17">
      <c r="L26" s="29"/>
      <c r="M26" s="2"/>
      <c r="N26" s="2"/>
      <c r="O26" s="2"/>
      <c r="P26" s="2"/>
      <c r="Q26" s="2"/>
    </row>
    <row r="27" spans="12:17">
      <c r="L27" s="29"/>
      <c r="M27" s="2"/>
      <c r="N27" s="2"/>
      <c r="O27" s="2"/>
      <c r="P27" s="2"/>
      <c r="Q27" s="2"/>
    </row>
    <row r="28" spans="12:17">
      <c r="L28" s="29"/>
      <c r="M28" s="2"/>
      <c r="N28" s="2"/>
      <c r="O28" s="2"/>
      <c r="P28" s="2"/>
      <c r="Q28" s="2"/>
    </row>
    <row r="29" spans="12:17">
      <c r="L29" s="29"/>
      <c r="M29" s="2"/>
      <c r="N29" s="2"/>
      <c r="O29" s="2"/>
      <c r="P29" s="2"/>
      <c r="Q29" s="2"/>
    </row>
    <row r="30" spans="12:17">
      <c r="L30" s="29"/>
      <c r="M30" s="2"/>
      <c r="N30" s="2"/>
      <c r="O30" s="2"/>
      <c r="P30" s="2"/>
      <c r="Q30" s="2"/>
    </row>
    <row r="31" spans="12:17">
      <c r="L31" s="29"/>
      <c r="M31" s="2"/>
      <c r="N31" s="2"/>
      <c r="O31" s="2"/>
      <c r="P31" s="2"/>
      <c r="Q31" s="2"/>
    </row>
    <row r="32" spans="12:17">
      <c r="L32" s="29"/>
      <c r="M32" s="2"/>
      <c r="N32" s="2"/>
      <c r="O32" s="2"/>
      <c r="P32" s="2"/>
      <c r="Q32" s="2"/>
    </row>
    <row r="33" spans="2:17">
      <c r="L33" s="29"/>
      <c r="M33" s="2"/>
      <c r="N33" s="2"/>
      <c r="O33" s="2"/>
      <c r="P33" s="2"/>
      <c r="Q33" s="2"/>
    </row>
    <row r="34" spans="2:17">
      <c r="L34" s="29"/>
      <c r="M34" s="2"/>
      <c r="N34" s="2"/>
      <c r="O34" s="2"/>
      <c r="P34" s="2"/>
      <c r="Q34" s="2"/>
    </row>
    <row r="35" spans="2:17">
      <c r="L35" s="29"/>
      <c r="M35" s="2"/>
      <c r="N35" s="2"/>
      <c r="O35" s="2"/>
      <c r="P35" s="2"/>
      <c r="Q35" s="2"/>
    </row>
    <row r="36" spans="2:17">
      <c r="B36" s="1"/>
    </row>
    <row r="37" spans="2:17">
      <c r="B37" s="1"/>
    </row>
    <row r="38" spans="2:17">
      <c r="B38" s="1"/>
    </row>
    <row r="39" spans="2:17">
      <c r="B39" s="1"/>
    </row>
    <row r="40" spans="2:17">
      <c r="B40" s="1"/>
    </row>
    <row r="41" spans="2:17">
      <c r="B41" s="1"/>
    </row>
    <row r="42" spans="2:17">
      <c r="B42" s="1"/>
    </row>
    <row r="43" spans="2:17">
      <c r="B43" s="1"/>
    </row>
    <row r="44" spans="2:17">
      <c r="B44" s="1"/>
    </row>
    <row r="45" spans="2:17">
      <c r="B45" s="1"/>
    </row>
    <row r="46" spans="2:17">
      <c r="B46" s="1"/>
    </row>
    <row r="47" spans="2:17">
      <c r="B47" s="1"/>
    </row>
    <row r="48" spans="2:17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CF03-0BAA-498D-BED4-B47C80FCD371}">
  <dimension ref="B1:H16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 activeCell="G16" sqref="G16"/>
    </sheetView>
  </sheetViews>
  <sheetFormatPr defaultRowHeight="14.4"/>
  <cols>
    <col min="1" max="1" width="3.21875" style="1" customWidth="1"/>
    <col min="2" max="2" width="21.44140625" style="2" customWidth="1"/>
    <col min="3" max="3" width="4.5546875" style="1" customWidth="1"/>
    <col min="4" max="4" width="9.33203125" style="7" customWidth="1"/>
    <col min="5" max="5" width="12" style="1" bestFit="1" customWidth="1"/>
    <col min="6" max="6" width="18.6640625" style="1" bestFit="1" customWidth="1"/>
    <col min="7" max="7" width="16.6640625" style="1" bestFit="1" customWidth="1"/>
    <col min="8" max="16384" width="8.88671875" style="1"/>
  </cols>
  <sheetData>
    <row r="1" spans="2:8">
      <c r="B1" s="1"/>
    </row>
    <row r="7" spans="2:8">
      <c r="D7" s="8" t="s">
        <v>0</v>
      </c>
      <c r="E7" s="4" t="s">
        <v>1</v>
      </c>
      <c r="F7" s="4" t="s">
        <v>2</v>
      </c>
      <c r="G7" s="4" t="s">
        <v>3</v>
      </c>
      <c r="H7" s="3"/>
    </row>
    <row r="8" spans="2:8">
      <c r="D8" s="9">
        <v>100</v>
      </c>
      <c r="E8" s="3" t="s">
        <v>4</v>
      </c>
      <c r="F8" s="6" t="s">
        <v>11</v>
      </c>
      <c r="G8" s="3" t="s">
        <v>18</v>
      </c>
      <c r="H8" s="3"/>
    </row>
    <row r="9" spans="2:8">
      <c r="D9" s="9">
        <v>101</v>
      </c>
      <c r="E9" s="3" t="s">
        <v>5</v>
      </c>
      <c r="F9" s="6" t="s">
        <v>12</v>
      </c>
      <c r="G9" s="3" t="s">
        <v>19</v>
      </c>
      <c r="H9" s="3"/>
    </row>
    <row r="10" spans="2:8">
      <c r="D10" s="9">
        <v>102</v>
      </c>
      <c r="E10" s="3" t="s">
        <v>6</v>
      </c>
      <c r="F10" s="6" t="s">
        <v>13</v>
      </c>
      <c r="G10" s="3" t="s">
        <v>20</v>
      </c>
      <c r="H10" s="3"/>
    </row>
    <row r="11" spans="2:8">
      <c r="D11" s="9">
        <v>103</v>
      </c>
      <c r="E11" s="3" t="s">
        <v>7</v>
      </c>
      <c r="F11" s="6" t="s">
        <v>14</v>
      </c>
      <c r="G11" s="3" t="s">
        <v>21</v>
      </c>
      <c r="H11" s="3"/>
    </row>
    <row r="12" spans="2:8">
      <c r="D12" s="9">
        <v>104</v>
      </c>
      <c r="E12" s="3" t="s">
        <v>8</v>
      </c>
      <c r="F12" s="6" t="s">
        <v>15</v>
      </c>
      <c r="G12" s="3" t="s">
        <v>22</v>
      </c>
      <c r="H12" s="3"/>
    </row>
    <row r="13" spans="2:8">
      <c r="D13" s="9">
        <v>105</v>
      </c>
      <c r="E13" s="3" t="s">
        <v>9</v>
      </c>
      <c r="F13" s="6" t="s">
        <v>16</v>
      </c>
      <c r="G13" s="3" t="s">
        <v>23</v>
      </c>
      <c r="H13" s="3"/>
    </row>
    <row r="14" spans="2:8">
      <c r="D14" s="9">
        <v>106</v>
      </c>
      <c r="E14" s="3" t="s">
        <v>10</v>
      </c>
      <c r="F14" s="6" t="s">
        <v>17</v>
      </c>
      <c r="G14" s="3" t="s">
        <v>24</v>
      </c>
      <c r="H14" s="3"/>
    </row>
    <row r="15" spans="2:8">
      <c r="D15" s="9">
        <v>107</v>
      </c>
      <c r="E15" s="3" t="s">
        <v>103</v>
      </c>
      <c r="F15" s="5" t="s">
        <v>104</v>
      </c>
      <c r="G15" s="3" t="s">
        <v>24</v>
      </c>
      <c r="H15" s="3"/>
    </row>
    <row r="16" spans="2:8">
      <c r="D16" s="9">
        <v>108</v>
      </c>
      <c r="E16" s="3" t="s">
        <v>105</v>
      </c>
      <c r="F16" s="5" t="s">
        <v>106</v>
      </c>
      <c r="G16" s="3" t="s">
        <v>24</v>
      </c>
    </row>
  </sheetData>
  <hyperlinks>
    <hyperlink ref="F8" r:id="rId1" xr:uid="{5E0DACEA-948E-48D6-9D0F-67D08CBD2199}"/>
    <hyperlink ref="F9" r:id="rId2" xr:uid="{C127D533-E1F5-4C3E-AF0A-A2C58A72A0B4}"/>
    <hyperlink ref="F10" r:id="rId3" xr:uid="{2A39F00D-F296-4272-B05E-DEA27548C083}"/>
    <hyperlink ref="F11" r:id="rId4" xr:uid="{2807EBFA-2922-4772-9D03-0FE05419961C}"/>
    <hyperlink ref="F12" r:id="rId5" xr:uid="{AD2E93C4-300D-44C5-B1EC-1ABE476BEE1B}"/>
    <hyperlink ref="F13" r:id="rId6" xr:uid="{A6E6D813-86A0-482E-B18D-ED0872610DE2}"/>
    <hyperlink ref="F14" r:id="rId7" xr:uid="{2BAB43BB-3033-4B73-953A-D56A44FBC171}"/>
    <hyperlink ref="F15" r:id="rId8" xr:uid="{322136F2-7B01-47F2-9385-333A98793B85}"/>
    <hyperlink ref="F16" r:id="rId9" xr:uid="{13EB5819-B93F-4AF2-9DF6-314BC9874F60}"/>
  </hyperlinks>
  <pageMargins left="0.7" right="0.7" top="0.75" bottom="0.75" header="0.3" footer="0.3"/>
  <pageSetup orientation="portrait" r:id="rId10"/>
  <drawing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B4A6-8FAD-4A30-9D8E-316D570505CC}">
  <dimension ref="B1:G17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5546875" style="1" customWidth="1"/>
    <col min="4" max="4" width="13.77734375" style="1" bestFit="1" customWidth="1"/>
    <col min="5" max="5" width="17.6640625" style="1" bestFit="1" customWidth="1"/>
    <col min="6" max="6" width="7.44140625" style="1" bestFit="1" customWidth="1"/>
    <col min="7" max="7" width="13.88671875" style="1" bestFit="1" customWidth="1"/>
    <col min="8" max="16384" width="8.88671875" style="1"/>
  </cols>
  <sheetData>
    <row r="1" spans="2:7">
      <c r="B1" s="1"/>
    </row>
    <row r="7" spans="2:7">
      <c r="D7" s="10" t="s">
        <v>25</v>
      </c>
      <c r="E7" s="10" t="s">
        <v>26</v>
      </c>
      <c r="F7" s="11" t="s">
        <v>27</v>
      </c>
      <c r="G7" s="11" t="s">
        <v>28</v>
      </c>
    </row>
    <row r="8" spans="2:7">
      <c r="D8" s="12" t="s">
        <v>29</v>
      </c>
      <c r="E8" s="13" t="s">
        <v>30</v>
      </c>
      <c r="F8" s="14">
        <v>12500</v>
      </c>
      <c r="G8" s="14">
        <v>15999</v>
      </c>
    </row>
    <row r="9" spans="2:7">
      <c r="D9" s="12" t="s">
        <v>31</v>
      </c>
      <c r="E9" s="13" t="s">
        <v>32</v>
      </c>
      <c r="F9" s="14">
        <v>38000</v>
      </c>
      <c r="G9" s="14">
        <v>45500</v>
      </c>
    </row>
    <row r="10" spans="2:7">
      <c r="D10" s="12" t="s">
        <v>33</v>
      </c>
      <c r="E10" s="13" t="s">
        <v>34</v>
      </c>
      <c r="F10" s="15">
        <v>220</v>
      </c>
      <c r="G10" s="15">
        <v>399</v>
      </c>
    </row>
    <row r="11" spans="2:7">
      <c r="D11" s="12" t="s">
        <v>35</v>
      </c>
      <c r="E11" s="13" t="s">
        <v>36</v>
      </c>
      <c r="F11" s="14">
        <v>1100</v>
      </c>
      <c r="G11" s="14">
        <v>1799</v>
      </c>
    </row>
    <row r="12" spans="2:7">
      <c r="D12" s="12" t="s">
        <v>37</v>
      </c>
      <c r="E12" s="13" t="s">
        <v>49</v>
      </c>
      <c r="F12" s="14">
        <v>2500</v>
      </c>
      <c r="G12" s="14">
        <v>3499</v>
      </c>
    </row>
    <row r="13" spans="2:7">
      <c r="D13" s="12" t="s">
        <v>39</v>
      </c>
      <c r="E13" s="13" t="s">
        <v>50</v>
      </c>
      <c r="F13" s="15">
        <v>180</v>
      </c>
      <c r="G13" s="15">
        <v>299</v>
      </c>
    </row>
    <row r="14" spans="2:7">
      <c r="D14" s="12" t="s">
        <v>41</v>
      </c>
      <c r="E14" s="13" t="s">
        <v>42</v>
      </c>
      <c r="F14" s="15">
        <v>18</v>
      </c>
      <c r="G14" s="15">
        <v>25</v>
      </c>
    </row>
    <row r="15" spans="2:7">
      <c r="D15" s="12" t="s">
        <v>43</v>
      </c>
      <c r="E15" s="13" t="s">
        <v>44</v>
      </c>
      <c r="F15" s="15">
        <v>180</v>
      </c>
      <c r="G15" s="15">
        <v>260</v>
      </c>
    </row>
    <row r="16" spans="2:7">
      <c r="D16" s="12" t="s">
        <v>45</v>
      </c>
      <c r="E16" s="13" t="s">
        <v>46</v>
      </c>
      <c r="F16" s="15">
        <v>750</v>
      </c>
      <c r="G16" s="14">
        <v>1099</v>
      </c>
    </row>
    <row r="17" spans="4:7">
      <c r="D17" s="12" t="s">
        <v>47</v>
      </c>
      <c r="E17" s="13" t="s">
        <v>48</v>
      </c>
      <c r="F17" s="15">
        <v>140</v>
      </c>
      <c r="G17" s="15">
        <v>249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C062-8360-4F38-83A5-D9F72093A6FD}">
  <sheetPr codeName="Sheet1"/>
  <dimension ref="B1:I17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77734375" style="1" customWidth="1"/>
    <col min="4" max="4" width="12.77734375" style="1" customWidth="1"/>
    <col min="5" max="5" width="16.6640625" style="1" customWidth="1"/>
    <col min="6" max="6" width="16.21875" style="1" customWidth="1"/>
    <col min="7" max="7" width="17.44140625" style="1" customWidth="1"/>
    <col min="8" max="8" width="11" style="1" customWidth="1"/>
    <col min="9" max="9" width="11.5546875" style="1" customWidth="1"/>
    <col min="10" max="16384" width="8.88671875" style="1"/>
  </cols>
  <sheetData>
    <row r="1" spans="2:9">
      <c r="B1" s="1"/>
    </row>
    <row r="7" spans="2:9">
      <c r="D7" s="16" t="s">
        <v>25</v>
      </c>
      <c r="E7" s="16" t="s">
        <v>26</v>
      </c>
      <c r="F7" s="16" t="s">
        <v>51</v>
      </c>
      <c r="G7" s="16" t="s">
        <v>52</v>
      </c>
      <c r="H7" s="16" t="s">
        <v>3</v>
      </c>
      <c r="I7" s="16" t="s">
        <v>73</v>
      </c>
    </row>
    <row r="8" spans="2:9">
      <c r="D8" s="16" t="s">
        <v>29</v>
      </c>
      <c r="E8" s="16" t="s">
        <v>30</v>
      </c>
      <c r="F8" s="16" t="s">
        <v>53</v>
      </c>
      <c r="G8" s="16">
        <v>9876543210</v>
      </c>
      <c r="H8" s="16" t="s">
        <v>54</v>
      </c>
      <c r="I8" s="16"/>
    </row>
    <row r="9" spans="2:9">
      <c r="D9" s="16" t="s">
        <v>31</v>
      </c>
      <c r="E9" s="16" t="s">
        <v>32</v>
      </c>
      <c r="F9" s="16" t="s">
        <v>55</v>
      </c>
      <c r="G9" s="16">
        <v>9123456780</v>
      </c>
      <c r="H9" s="16" t="s">
        <v>56</v>
      </c>
      <c r="I9" s="16"/>
    </row>
    <row r="10" spans="2:9">
      <c r="D10" s="16" t="s">
        <v>33</v>
      </c>
      <c r="E10" s="16" t="s">
        <v>34</v>
      </c>
      <c r="F10" s="16" t="s">
        <v>57</v>
      </c>
      <c r="G10" s="16">
        <v>9012345678</v>
      </c>
      <c r="H10" s="16" t="s">
        <v>58</v>
      </c>
      <c r="I10" s="16"/>
    </row>
    <row r="11" spans="2:9">
      <c r="D11" s="16" t="s">
        <v>35</v>
      </c>
      <c r="E11" s="16" t="s">
        <v>36</v>
      </c>
      <c r="F11" s="16" t="s">
        <v>59</v>
      </c>
      <c r="G11" s="16">
        <v>9988776655</v>
      </c>
      <c r="H11" s="16" t="s">
        <v>60</v>
      </c>
      <c r="I11" s="16"/>
    </row>
    <row r="12" spans="2:9">
      <c r="D12" s="16" t="s">
        <v>37</v>
      </c>
      <c r="E12" s="16" t="s">
        <v>38</v>
      </c>
      <c r="F12" s="16" t="s">
        <v>61</v>
      </c>
      <c r="G12" s="16">
        <v>9090909090</v>
      </c>
      <c r="H12" s="16" t="s">
        <v>62</v>
      </c>
      <c r="I12" s="16"/>
    </row>
    <row r="13" spans="2:9">
      <c r="D13" s="16" t="s">
        <v>39</v>
      </c>
      <c r="E13" s="16" t="s">
        <v>40</v>
      </c>
      <c r="F13" s="16" t="s">
        <v>63</v>
      </c>
      <c r="G13" s="16">
        <v>9345678901</v>
      </c>
      <c r="H13" s="16" t="s">
        <v>64</v>
      </c>
      <c r="I13" s="16"/>
    </row>
    <row r="14" spans="2:9">
      <c r="D14" s="16" t="s">
        <v>41</v>
      </c>
      <c r="E14" s="16" t="s">
        <v>42</v>
      </c>
      <c r="F14" s="16" t="s">
        <v>65</v>
      </c>
      <c r="G14" s="16">
        <v>9876501234</v>
      </c>
      <c r="H14" s="16" t="s">
        <v>66</v>
      </c>
      <c r="I14" s="16"/>
    </row>
    <row r="15" spans="2:9">
      <c r="D15" s="16" t="s">
        <v>43</v>
      </c>
      <c r="E15" s="16" t="s">
        <v>44</v>
      </c>
      <c r="F15" s="16" t="s">
        <v>67</v>
      </c>
      <c r="G15" s="16">
        <v>9789012345</v>
      </c>
      <c r="H15" s="16" t="s">
        <v>68</v>
      </c>
      <c r="I15" s="16"/>
    </row>
    <row r="16" spans="2:9">
      <c r="D16" s="16" t="s">
        <v>45</v>
      </c>
      <c r="E16" s="16" t="s">
        <v>46</v>
      </c>
      <c r="F16" s="16" t="s">
        <v>69</v>
      </c>
      <c r="G16" s="16">
        <v>9654321098</v>
      </c>
      <c r="H16" s="16" t="s">
        <v>70</v>
      </c>
      <c r="I16" s="16"/>
    </row>
    <row r="17" spans="4:9">
      <c r="D17" s="16" t="s">
        <v>47</v>
      </c>
      <c r="E17" s="16" t="s">
        <v>48</v>
      </c>
      <c r="F17" s="16" t="s">
        <v>71</v>
      </c>
      <c r="G17" s="16">
        <v>9543216780</v>
      </c>
      <c r="H17" s="16" t="s">
        <v>72</v>
      </c>
      <c r="I17" s="16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73B8-A86E-4E62-96AA-6923CBB3B8D9}">
  <dimension ref="B1:D10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5546875" style="1" customWidth="1"/>
    <col min="4" max="4" width="13.109375" style="17" bestFit="1" customWidth="1"/>
    <col min="5" max="16384" width="8.88671875" style="1"/>
  </cols>
  <sheetData>
    <row r="1" spans="2:4">
      <c r="B1" s="1"/>
    </row>
    <row r="8" spans="2:4">
      <c r="D8" s="5" t="s">
        <v>74</v>
      </c>
    </row>
    <row r="10" spans="2:4">
      <c r="D10" s="5" t="s">
        <v>75</v>
      </c>
    </row>
  </sheetData>
  <hyperlinks>
    <hyperlink ref="D8" location="Purchase!A1" display="Purchase Entry" xr:uid="{0055B567-A762-4C45-890A-AFAB0DEE741E}"/>
    <hyperlink ref="D10" location="Sales!A1" display="Sales Entry" xr:uid="{ADD8A7D9-B0BC-4201-BC2B-51FC5C01E81A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6625-EBC4-487F-9B00-CD5550D1A712}">
  <dimension ref="B1:J21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5546875" style="1" customWidth="1"/>
    <col min="4" max="4" width="11.88671875" style="1" customWidth="1"/>
    <col min="5" max="5" width="16.88671875" style="1" customWidth="1"/>
    <col min="6" max="6" width="19" style="1" bestFit="1" customWidth="1"/>
    <col min="7" max="7" width="10.5546875" style="1" bestFit="1" customWidth="1"/>
    <col min="8" max="8" width="8.88671875" style="1"/>
    <col min="9" max="9" width="9.6640625" style="1" customWidth="1"/>
    <col min="10" max="10" width="10.33203125" style="1" customWidth="1"/>
    <col min="11" max="16384" width="8.88671875" style="1"/>
  </cols>
  <sheetData>
    <row r="1" spans="2:10">
      <c r="B1" s="1"/>
    </row>
    <row r="7" spans="2:10">
      <c r="D7" s="4" t="s">
        <v>25</v>
      </c>
      <c r="E7" s="4" t="s">
        <v>26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</row>
    <row r="8" spans="2:10">
      <c r="D8" s="3" t="s">
        <v>29</v>
      </c>
      <c r="E8" s="3" t="str">
        <f>IFERROR(VLOOKUP(PurchaseData[[#This Row],[HSN Code]],ProductsData[#All],2,0),"")</f>
        <v>Mobile Phone</v>
      </c>
      <c r="F8" s="3" t="str">
        <f>IFERROR(VLOOKUP(PurchaseData[[#This Row],[HSN Code]],VenderData[#All],3,0),"")</f>
        <v>TechZone Distributors</v>
      </c>
      <c r="G8" s="18">
        <v>46054</v>
      </c>
      <c r="H8" s="3">
        <v>21</v>
      </c>
      <c r="I8" s="3">
        <f>IFERROR(VLOOKUP(PurchaseData[[#This Row],[HSN Code]],ProductsData[#All],3,0),"")</f>
        <v>12500</v>
      </c>
      <c r="J8" s="3">
        <f>IFERROR(PurchaseData[[#This Row],[Units]]*PurchaseData[[#This Row],[Cost]],"")</f>
        <v>262500</v>
      </c>
    </row>
    <row r="9" spans="2:10">
      <c r="D9" s="3" t="s">
        <v>33</v>
      </c>
      <c r="E9" s="3" t="str">
        <f>IFERROR(VLOOKUP(PurchaseData[[#This Row],[HSN Code]],ProductsData[#All],2,0),"")</f>
        <v>Cotton T-Shirt</v>
      </c>
      <c r="F9" s="3" t="str">
        <f>IFERROR(VLOOKUP(PurchaseData[[#This Row],[HSN Code]],VenderData[#All],3,0),"")</f>
        <v>Fashion Hub</v>
      </c>
      <c r="G9" s="18">
        <v>46068</v>
      </c>
      <c r="H9" s="3">
        <v>20</v>
      </c>
      <c r="I9" s="3">
        <f>IFERROR(VLOOKUP(PurchaseData[[#This Row],[HSN Code]],ProductsData[#All],3,0),"")</f>
        <v>220</v>
      </c>
      <c r="J9" s="3">
        <f>IFERROR(PurchaseData[[#This Row],[Units]]*PurchaseData[[#This Row],[Cost]],"")</f>
        <v>4400</v>
      </c>
    </row>
    <row r="10" spans="2:10">
      <c r="D10" s="3" t="s">
        <v>37</v>
      </c>
      <c r="E10" s="3" t="str">
        <f>IFERROR(VLOOKUP(PurchaseData[[#This Row],[HSN Code]],ProductsData[#All],2,0),"")</f>
        <v>Wooden Office</v>
      </c>
      <c r="F10" s="3" t="str">
        <f>IFERROR(VLOOKUP(PurchaseData[[#This Row],[HSN Code]],VenderData[#All],3,0),"")</f>
        <v>Comfort Furniture</v>
      </c>
      <c r="G10" s="18">
        <v>46148</v>
      </c>
      <c r="H10" s="3">
        <v>30</v>
      </c>
      <c r="I10" s="3">
        <f>IFERROR(VLOOKUP(PurchaseData[[#This Row],[HSN Code]],ProductsData[#All],3,0),"")</f>
        <v>2500</v>
      </c>
      <c r="J10" s="3">
        <f>IFERROR(PurchaseData[[#This Row],[Units]]*PurchaseData[[#This Row],[Cost]],"")</f>
        <v>75000</v>
      </c>
    </row>
    <row r="11" spans="2:10">
      <c r="D11" s="3" t="s">
        <v>41</v>
      </c>
      <c r="E11" s="3" t="str">
        <f>IFERROR(VLOOKUP(PurchaseData[[#This Row],[HSN Code]],ProductsData[#All],2,0),"")</f>
        <v>Biscuits (Pack)</v>
      </c>
      <c r="F11" s="3" t="str">
        <f>IFERROR(VLOOKUP(PurchaseData[[#This Row],[HSN Code]],VenderData[#All],3,0),"")</f>
        <v>Fresh Foods</v>
      </c>
      <c r="G11" s="18">
        <v>46083</v>
      </c>
      <c r="H11" s="3">
        <v>15</v>
      </c>
      <c r="I11" s="3">
        <f>IFERROR(VLOOKUP(PurchaseData[[#This Row],[HSN Code]],ProductsData[#All],3,0),"")</f>
        <v>18</v>
      </c>
      <c r="J11" s="3">
        <f>IFERROR(PurchaseData[[#This Row],[Units]]*PurchaseData[[#This Row],[Cost]],"")</f>
        <v>270</v>
      </c>
    </row>
    <row r="12" spans="2:10">
      <c r="D12" s="3" t="s">
        <v>41</v>
      </c>
      <c r="E12" s="3" t="str">
        <f>IFERROR(VLOOKUP(PurchaseData[[#This Row],[HSN Code]],ProductsData[#All],2,0),"")</f>
        <v>Biscuits (Pack)</v>
      </c>
      <c r="F12" s="3" t="str">
        <f>IFERROR(VLOOKUP(PurchaseData[[#This Row],[HSN Code]],VenderData[#All],3,0),"")</f>
        <v>Fresh Foods</v>
      </c>
      <c r="G12" s="18">
        <v>46083</v>
      </c>
      <c r="H12" s="3">
        <v>16</v>
      </c>
      <c r="I12" s="3">
        <f>IFERROR(VLOOKUP(PurchaseData[[#This Row],[HSN Code]],ProductsData[#All],3,0),"")</f>
        <v>18</v>
      </c>
      <c r="J12" s="3">
        <f>IFERROR(PurchaseData[[#This Row],[Units]]*PurchaseData[[#This Row],[Cost]],"")</f>
        <v>288</v>
      </c>
    </row>
    <row r="13" spans="2:10">
      <c r="D13" s="3" t="s">
        <v>39</v>
      </c>
      <c r="E13" s="3" t="str">
        <f>IFERROR(VLOOKUP(PurchaseData[[#This Row],[HSN Code]],ProductsData[#All],2,0),"")</f>
        <v>Stainless Steel</v>
      </c>
      <c r="F13" s="3" t="str">
        <f>IFERROR(VLOOKUP(PurchaseData[[#This Row],[HSN Code]],VenderData[#All],3,0),"")</f>
        <v>SteelMart</v>
      </c>
      <c r="G13" s="18">
        <v>46083</v>
      </c>
      <c r="H13" s="3">
        <v>14</v>
      </c>
      <c r="I13" s="3">
        <f>IFERROR(VLOOKUP(PurchaseData[[#This Row],[HSN Code]],ProductsData[#All],3,0),"")</f>
        <v>180</v>
      </c>
      <c r="J13" s="3">
        <f>IFERROR(PurchaseData[[#This Row],[Units]]*PurchaseData[[#This Row],[Cost]],"")</f>
        <v>2520</v>
      </c>
    </row>
    <row r="14" spans="2:10">
      <c r="D14" s="3" t="s">
        <v>43</v>
      </c>
      <c r="E14" s="3" t="str">
        <f>IFERROR(VLOOKUP(PurchaseData[[#This Row],[HSN Code]],ProductsData[#All],2,0),"")</f>
        <v>Tea (500 g Pack)</v>
      </c>
      <c r="F14" s="3" t="str">
        <f>IFERROR(VLOOKUP(PurchaseData[[#This Row],[HSN Code]],VenderData[#All],3,0),"")</f>
        <v>Green Leaf Suppliers</v>
      </c>
      <c r="G14" s="18">
        <v>46083</v>
      </c>
      <c r="H14" s="3">
        <v>12</v>
      </c>
      <c r="I14" s="3">
        <f>IFERROR(VLOOKUP(PurchaseData[[#This Row],[HSN Code]],ProductsData[#All],3,0),"")</f>
        <v>180</v>
      </c>
      <c r="J14" s="3">
        <f>IFERROR(PurchaseData[[#This Row],[Units]]*PurchaseData[[#This Row],[Cost]],"")</f>
        <v>2160</v>
      </c>
    </row>
    <row r="15" spans="2:10">
      <c r="D15" s="3" t="s">
        <v>33</v>
      </c>
      <c r="E15" s="3" t="str">
        <f>IFERROR(VLOOKUP(PurchaseData[[#This Row],[HSN Code]],ProductsData[#All],2,0),"")</f>
        <v>Cotton T-Shirt</v>
      </c>
      <c r="F15" s="3" t="str">
        <f>IFERROR(VLOOKUP(PurchaseData[[#This Row],[HSN Code]],VenderData[#All],3,0),"")</f>
        <v>Fashion Hub</v>
      </c>
      <c r="G15" s="18">
        <v>46083</v>
      </c>
      <c r="H15" s="3">
        <v>25</v>
      </c>
      <c r="I15" s="3">
        <f>IFERROR(VLOOKUP(PurchaseData[[#This Row],[HSN Code]],ProductsData[#All],3,0),"")</f>
        <v>220</v>
      </c>
      <c r="J15" s="3">
        <f>IFERROR(PurchaseData[[#This Row],[Units]]*PurchaseData[[#This Row],[Cost]],"")</f>
        <v>5500</v>
      </c>
    </row>
    <row r="16" spans="2:10">
      <c r="D16" s="3" t="s">
        <v>35</v>
      </c>
      <c r="E16" s="3" t="str">
        <f>IFERROR(VLOOKUP(PurchaseData[[#This Row],[HSN Code]],ProductsData[#All],2,0),"")</f>
        <v>Leather Shoes</v>
      </c>
      <c r="F16" s="3" t="str">
        <f>IFERROR(VLOOKUP(PurchaseData[[#This Row],[HSN Code]],VenderData[#All],3,0),"")</f>
        <v>StepUp Traders</v>
      </c>
      <c r="G16" s="18">
        <v>46083</v>
      </c>
      <c r="H16" s="3">
        <v>18</v>
      </c>
      <c r="I16" s="3">
        <f>IFERROR(VLOOKUP(PurchaseData[[#This Row],[HSN Code]],ProductsData[#All],3,0),"")</f>
        <v>1100</v>
      </c>
      <c r="J16" s="3">
        <f>IFERROR(PurchaseData[[#This Row],[Units]]*PurchaseData[[#This Row],[Cost]],"")</f>
        <v>19800</v>
      </c>
    </row>
    <row r="17" spans="4:10">
      <c r="D17" s="3" t="s">
        <v>43</v>
      </c>
      <c r="E17" s="3" t="str">
        <f>IFERROR(VLOOKUP(PurchaseData[[#This Row],[HSN Code]],ProductsData[#All],2,0),"")</f>
        <v>Tea (500 g Pack)</v>
      </c>
      <c r="F17" s="3" t="str">
        <f>IFERROR(VLOOKUP(PurchaseData[[#This Row],[HSN Code]],VenderData[#All],3,0),"")</f>
        <v>Green Leaf Suppliers</v>
      </c>
      <c r="G17" s="18">
        <v>46083</v>
      </c>
      <c r="H17" s="3">
        <v>16</v>
      </c>
      <c r="I17" s="3">
        <f>IFERROR(VLOOKUP(PurchaseData[[#This Row],[HSN Code]],ProductsData[#All],3,0),"")</f>
        <v>180</v>
      </c>
      <c r="J17" s="3">
        <f>IFERROR(PurchaseData[[#This Row],[Units]]*PurchaseData[[#This Row],[Cost]],"")</f>
        <v>2880</v>
      </c>
    </row>
    <row r="18" spans="4:10">
      <c r="D18" s="3" t="s">
        <v>41</v>
      </c>
      <c r="E18" s="3" t="str">
        <f>IFERROR(VLOOKUP(PurchaseData[[#This Row],[HSN Code]],ProductsData[#All],2,0),"")</f>
        <v>Biscuits (Pack)</v>
      </c>
      <c r="F18" s="3" t="str">
        <f>IFERROR(VLOOKUP(PurchaseData[[#This Row],[HSN Code]],VenderData[#All],3,0),"")</f>
        <v>Fresh Foods</v>
      </c>
      <c r="G18" s="18">
        <v>46083</v>
      </c>
      <c r="H18" s="3">
        <v>15</v>
      </c>
      <c r="I18" s="3">
        <f>IFERROR(VLOOKUP(PurchaseData[[#This Row],[HSN Code]],ProductsData[#All],3,0),"")</f>
        <v>18</v>
      </c>
      <c r="J18" s="3">
        <f>IFERROR(PurchaseData[[#This Row],[Units]]*PurchaseData[[#This Row],[Cost]],"")</f>
        <v>270</v>
      </c>
    </row>
    <row r="19" spans="4:10">
      <c r="D19" s="3" t="s">
        <v>39</v>
      </c>
      <c r="E19" s="3" t="str">
        <f>IFERROR(VLOOKUP(PurchaseData[[#This Row],[HSN Code]],ProductsData[#All],2,0),"")</f>
        <v>Stainless Steel</v>
      </c>
      <c r="F19" s="3" t="str">
        <f>IFERROR(VLOOKUP(PurchaseData[[#This Row],[HSN Code]],VenderData[#All],3,0),"")</f>
        <v>SteelMart</v>
      </c>
      <c r="G19" s="18">
        <v>46083</v>
      </c>
      <c r="H19" s="3">
        <v>25</v>
      </c>
      <c r="I19" s="3">
        <f>IFERROR(VLOOKUP(PurchaseData[[#This Row],[HSN Code]],ProductsData[#All],3,0),"")</f>
        <v>180</v>
      </c>
      <c r="J19" s="3">
        <f>IFERROR(PurchaseData[[#This Row],[Units]]*PurchaseData[[#This Row],[Cost]],"")</f>
        <v>4500</v>
      </c>
    </row>
    <row r="20" spans="4:10">
      <c r="D20" s="3" t="s">
        <v>35</v>
      </c>
      <c r="E20" s="3" t="str">
        <f>IFERROR(VLOOKUP(PurchaseData[[#This Row],[HSN Code]],ProductsData[#All],2,0),"")</f>
        <v>Leather Shoes</v>
      </c>
      <c r="F20" s="3" t="str">
        <f>IFERROR(VLOOKUP(PurchaseData[[#This Row],[HSN Code]],VenderData[#All],3,0),"")</f>
        <v>StepUp Traders</v>
      </c>
      <c r="G20" s="18">
        <v>46083</v>
      </c>
      <c r="H20" s="3">
        <v>11</v>
      </c>
      <c r="I20" s="3">
        <f>IFERROR(VLOOKUP(PurchaseData[[#This Row],[HSN Code]],ProductsData[#All],3,0),"")</f>
        <v>1100</v>
      </c>
      <c r="J20" s="3">
        <f>IFERROR(PurchaseData[[#This Row],[Units]]*PurchaseData[[#This Row],[Cost]],"")</f>
        <v>12100</v>
      </c>
    </row>
    <row r="21" spans="4:10">
      <c r="D21" s="3" t="s">
        <v>33</v>
      </c>
      <c r="E21" s="3" t="str">
        <f>IFERROR(VLOOKUP(PurchaseData[[#This Row],[HSN Code]],ProductsData[#All],2,0),"")</f>
        <v>Cotton T-Shirt</v>
      </c>
      <c r="F21" s="3" t="str">
        <f>IFERROR(VLOOKUP(PurchaseData[[#This Row],[HSN Code]],VenderData[#All],3,0),"")</f>
        <v>Fashion Hub</v>
      </c>
      <c r="G21" s="18">
        <v>46083</v>
      </c>
      <c r="H21" s="3">
        <v>16</v>
      </c>
      <c r="I21" s="3">
        <f>IFERROR(VLOOKUP(PurchaseData[[#This Row],[HSN Code]],ProductsData[#All],3,0),"")</f>
        <v>220</v>
      </c>
      <c r="J21" s="3">
        <f>IFERROR(PurchaseData[[#This Row],[Units]]*PurchaseData[[#This Row],[Cost]],"")</f>
        <v>3520</v>
      </c>
    </row>
  </sheetData>
  <dataValidations count="1">
    <dataValidation type="list" allowBlank="1" showInputMessage="1" showErrorMessage="1" sqref="D8:D21" xr:uid="{4E2909EB-6C3D-4973-A4AE-B866D477369D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FBC7-8DFC-4C75-8D72-FDCA841B86F5}">
  <dimension ref="B1:L21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88671875" style="1" customWidth="1"/>
    <col min="4" max="4" width="9.6640625" style="1" bestFit="1" customWidth="1"/>
    <col min="5" max="5" width="12.6640625" style="1" bestFit="1" customWidth="1"/>
    <col min="6" max="6" width="11.5546875" style="1" bestFit="1" customWidth="1"/>
    <col min="7" max="7" width="15.44140625" style="1" bestFit="1" customWidth="1"/>
    <col min="8" max="8" width="10.5546875" style="1" bestFit="1" customWidth="1"/>
    <col min="9" max="9" width="13.5546875" style="1" bestFit="1" customWidth="1"/>
    <col min="10" max="10" width="7.5546875" style="1" bestFit="1" customWidth="1"/>
    <col min="11" max="11" width="7.33203125" style="1" bestFit="1" customWidth="1"/>
    <col min="12" max="12" width="10.109375" style="1" bestFit="1" customWidth="1"/>
    <col min="13" max="16384" width="8.88671875" style="1"/>
  </cols>
  <sheetData>
    <row r="1" spans="2:12">
      <c r="B1" s="1"/>
    </row>
    <row r="7" spans="2:12">
      <c r="D7" s="3" t="s">
        <v>0</v>
      </c>
      <c r="E7" s="3" t="s">
        <v>81</v>
      </c>
      <c r="F7" s="3" t="s">
        <v>25</v>
      </c>
      <c r="G7" s="3" t="s">
        <v>26</v>
      </c>
      <c r="H7" s="3" t="s">
        <v>77</v>
      </c>
      <c r="I7" s="3" t="s">
        <v>82</v>
      </c>
      <c r="J7" s="3" t="s">
        <v>78</v>
      </c>
      <c r="K7" s="3" t="s">
        <v>83</v>
      </c>
      <c r="L7" s="3" t="s">
        <v>80</v>
      </c>
    </row>
    <row r="8" spans="2:12">
      <c r="D8" s="20">
        <v>100</v>
      </c>
      <c r="E8" s="19" t="str">
        <f>IFERROR(VLOOKUP(SalesData[[#This Row],[Cust_ID]],CustomersData[#All],2,0),"")</f>
        <v>Ram Sales</v>
      </c>
      <c r="F8" s="19" t="s">
        <v>41</v>
      </c>
      <c r="G8" s="19" t="str">
        <f>IFERROR(VLOOKUP(SalesData[[#This Row],[HSN Code]],ProductsData[#All],2,0),"")</f>
        <v>Biscuits (Pack)</v>
      </c>
      <c r="H8" s="21">
        <v>46174</v>
      </c>
      <c r="I8" s="19">
        <f>IFERROR(VLOOKUP(SalesData[[#This Row],[HSN Code]],Table6[#All],6,0),"")</f>
        <v>30</v>
      </c>
      <c r="J8" s="19">
        <v>12</v>
      </c>
      <c r="K8" s="19">
        <f>IFERROR(VLOOKUP(SalesData[[#This Row],[HSN Code]],ProductsData[#All],4,0),"")</f>
        <v>25</v>
      </c>
      <c r="L8" s="19">
        <f>IFERROR(SalesData[[#This Row],[Price]]*SalesData[[#This Row],[Units]],"")</f>
        <v>300</v>
      </c>
    </row>
    <row r="9" spans="2:12">
      <c r="D9" s="20">
        <v>103</v>
      </c>
      <c r="E9" s="19" t="str">
        <f>IFERROR(VLOOKUP(SalesData[[#This Row],[Cust_ID]],CustomersData[#All],2,0),"")</f>
        <v>99store</v>
      </c>
      <c r="F9" s="19" t="s">
        <v>37</v>
      </c>
      <c r="G9" s="19" t="str">
        <f>IFERROR(VLOOKUP(SalesData[[#This Row],[HSN Code]],ProductsData[#All],2,0),"")</f>
        <v>Wooden Office</v>
      </c>
      <c r="H9" s="21">
        <v>46174</v>
      </c>
      <c r="I9" s="19">
        <f>IFERROR(VLOOKUP(SalesData[[#This Row],[HSN Code]],Table6[#All],6,0),"")</f>
        <v>11</v>
      </c>
      <c r="J9" s="19">
        <v>5</v>
      </c>
      <c r="K9" s="19">
        <f>IFERROR(VLOOKUP(SalesData[[#This Row],[HSN Code]],ProductsData[#All],4,0),"")</f>
        <v>3499</v>
      </c>
      <c r="L9" s="19">
        <f>IFERROR(SalesData[[#This Row],[Price]]*SalesData[[#This Row],[Units]],"")</f>
        <v>17495</v>
      </c>
    </row>
    <row r="10" spans="2:12">
      <c r="D10" s="20">
        <v>105</v>
      </c>
      <c r="E10" s="19" t="str">
        <f>IFERROR(VLOOKUP(SalesData[[#This Row],[Cust_ID]],CustomersData[#All],2,0),"")</f>
        <v>Amit</v>
      </c>
      <c r="F10" s="19" t="s">
        <v>37</v>
      </c>
      <c r="G10" s="19" t="str">
        <f>IFERROR(VLOOKUP(SalesData[[#This Row],[HSN Code]],ProductsData[#All],2,0),"")</f>
        <v>Wooden Office</v>
      </c>
      <c r="H10" s="21">
        <v>46174</v>
      </c>
      <c r="I10" s="19">
        <f>IFERROR(VLOOKUP(SalesData[[#This Row],[HSN Code]],Table6[#All],6,0),"")</f>
        <v>11</v>
      </c>
      <c r="J10" s="19">
        <v>10</v>
      </c>
      <c r="K10" s="19">
        <f>IFERROR(VLOOKUP(SalesData[[#This Row],[HSN Code]],ProductsData[#All],4,0),"")</f>
        <v>3499</v>
      </c>
      <c r="L10" s="19">
        <f>IFERROR(SalesData[[#This Row],[Price]]*SalesData[[#This Row],[Units]],"")</f>
        <v>34990</v>
      </c>
    </row>
    <row r="11" spans="2:12">
      <c r="D11" s="20">
        <v>106</v>
      </c>
      <c r="E11" s="19" t="str">
        <f>IFERROR(VLOOKUP(SalesData[[#This Row],[Cust_ID]],CustomersData[#All],2,0),"")</f>
        <v>Jain Tel.</v>
      </c>
      <c r="F11" s="19" t="s">
        <v>43</v>
      </c>
      <c r="G11" s="19" t="str">
        <f>IFERROR(VLOOKUP(SalesData[[#This Row],[HSN Code]],ProductsData[#All],2,0),"")</f>
        <v>Tea (500 g Pack)</v>
      </c>
      <c r="H11" s="21">
        <v>46174</v>
      </c>
      <c r="I11" s="19">
        <f>IFERROR(VLOOKUP(SalesData[[#This Row],[HSN Code]],Table6[#All],6,0),"")</f>
        <v>20</v>
      </c>
      <c r="J11" s="19">
        <v>4</v>
      </c>
      <c r="K11" s="19">
        <f>IFERROR(VLOOKUP(SalesData[[#This Row],[HSN Code]],ProductsData[#All],4,0),"")</f>
        <v>260</v>
      </c>
      <c r="L11" s="19">
        <f>IFERROR(SalesData[[#This Row],[Price]]*SalesData[[#This Row],[Units]],"")</f>
        <v>1040</v>
      </c>
    </row>
    <row r="12" spans="2:12">
      <c r="D12" s="20">
        <v>104</v>
      </c>
      <c r="E12" s="19" t="str">
        <f>IFERROR(VLOOKUP(SalesData[[#This Row],[Cust_ID]],CustomersData[#All],2,0),"")</f>
        <v>Rajesh Kumar</v>
      </c>
      <c r="F12" s="19" t="s">
        <v>31</v>
      </c>
      <c r="G12" s="19" t="str">
        <f>IFERROR(VLOOKUP(SalesData[[#This Row],[HSN Code]],ProductsData[#All],2,0),"")</f>
        <v>Laptop</v>
      </c>
      <c r="H12" s="21">
        <v>46174</v>
      </c>
      <c r="I12" s="19">
        <f>IFERROR(VLOOKUP(SalesData[[#This Row],[HSN Code]],Table6[#All],6,0),"")</f>
        <v>-5</v>
      </c>
      <c r="J12" s="19">
        <v>5</v>
      </c>
      <c r="K12" s="19">
        <f>IFERROR(VLOOKUP(SalesData[[#This Row],[HSN Code]],ProductsData[#All],4,0),"")</f>
        <v>45500</v>
      </c>
      <c r="L12" s="19">
        <f>IFERROR(SalesData[[#This Row],[Price]]*SalesData[[#This Row],[Units]],"")</f>
        <v>227500</v>
      </c>
    </row>
    <row r="13" spans="2:12">
      <c r="D13" s="20">
        <v>101</v>
      </c>
      <c r="E13" s="19" t="str">
        <f>IFERROR(VLOOKUP(SalesData[[#This Row],[Cust_ID]],CustomersData[#All],2,0),"")</f>
        <v>Atul Ltd.</v>
      </c>
      <c r="F13" s="19" t="s">
        <v>33</v>
      </c>
      <c r="G13" s="19" t="str">
        <f>IFERROR(VLOOKUP(SalesData[[#This Row],[HSN Code]],ProductsData[#All],2,0),"")</f>
        <v>Cotton T-Shirt</v>
      </c>
      <c r="H13" s="21">
        <v>46174</v>
      </c>
      <c r="I13" s="19">
        <f>IFERROR(VLOOKUP(SalesData[[#This Row],[HSN Code]],Table6[#All],6,0),"")</f>
        <v>57</v>
      </c>
      <c r="J13" s="19">
        <v>4</v>
      </c>
      <c r="K13" s="19">
        <f>IFERROR(VLOOKUP(SalesData[[#This Row],[HSN Code]],ProductsData[#All],4,0),"")</f>
        <v>399</v>
      </c>
      <c r="L13" s="19">
        <f>IFERROR(SalesData[[#This Row],[Price]]*SalesData[[#This Row],[Units]],"")</f>
        <v>1596</v>
      </c>
    </row>
    <row r="14" spans="2:12">
      <c r="D14" s="20">
        <v>105</v>
      </c>
      <c r="E14" s="19" t="str">
        <f>IFERROR(VLOOKUP(SalesData[[#This Row],[Cust_ID]],CustomersData[#All],2,0),"")</f>
        <v>Amit</v>
      </c>
      <c r="F14" s="19" t="s">
        <v>39</v>
      </c>
      <c r="G14" s="19" t="str">
        <f>IFERROR(VLOOKUP(SalesData[[#This Row],[HSN Code]],ProductsData[#All],2,0),"")</f>
        <v>Stainless Steel</v>
      </c>
      <c r="H14" s="21">
        <v>46174</v>
      </c>
      <c r="I14" s="19">
        <f>IFERROR(VLOOKUP(SalesData[[#This Row],[HSN Code]],Table6[#All],6,0),"")</f>
        <v>35</v>
      </c>
      <c r="J14" s="19">
        <v>4</v>
      </c>
      <c r="K14" s="19">
        <f>IFERROR(VLOOKUP(SalesData[[#This Row],[HSN Code]],ProductsData[#All],4,0),"")</f>
        <v>299</v>
      </c>
      <c r="L14" s="19">
        <f>IFERROR(SalesData[[#This Row],[Price]]*SalesData[[#This Row],[Units]],"")</f>
        <v>1196</v>
      </c>
    </row>
    <row r="15" spans="2:12">
      <c r="D15" s="20">
        <v>102</v>
      </c>
      <c r="E15" s="19" t="str">
        <f>IFERROR(VLOOKUP(SalesData[[#This Row],[Cust_ID]],CustomersData[#All],2,0),"")</f>
        <v>MK Tech.</v>
      </c>
      <c r="F15" s="19" t="s">
        <v>29</v>
      </c>
      <c r="G15" s="19" t="str">
        <f>IFERROR(VLOOKUP(SalesData[[#This Row],[HSN Code]],ProductsData[#All],2,0),"")</f>
        <v>Mobile Phone</v>
      </c>
      <c r="H15" s="21">
        <v>46174</v>
      </c>
      <c r="I15" s="19">
        <f>IFERROR(VLOOKUP(SalesData[[#This Row],[HSN Code]],Table6[#All],6,0),"")</f>
        <v>17</v>
      </c>
      <c r="J15" s="19">
        <v>4</v>
      </c>
      <c r="K15" s="19">
        <f>IFERROR(VLOOKUP(SalesData[[#This Row],[HSN Code]],ProductsData[#All],4,0),"")</f>
        <v>15999</v>
      </c>
      <c r="L15" s="19">
        <f>IFERROR(SalesData[[#This Row],[Price]]*SalesData[[#This Row],[Units]],"")</f>
        <v>63996</v>
      </c>
    </row>
    <row r="16" spans="2:12">
      <c r="D16" s="20">
        <v>101</v>
      </c>
      <c r="E16" s="19" t="str">
        <f>IFERROR(VLOOKUP(SalesData[[#This Row],[Cust_ID]],CustomersData[#All],2,0),"")</f>
        <v>Atul Ltd.</v>
      </c>
      <c r="F16" s="19" t="s">
        <v>35</v>
      </c>
      <c r="G16" s="19" t="str">
        <f>IFERROR(VLOOKUP(SalesData[[#This Row],[HSN Code]],ProductsData[#All],2,0),"")</f>
        <v>Leather Shoes</v>
      </c>
      <c r="H16" s="21">
        <v>46174</v>
      </c>
      <c r="I16" s="19">
        <f>IFERROR(VLOOKUP(SalesData[[#This Row],[HSN Code]],Table6[#All],6,0),"")</f>
        <v>5</v>
      </c>
      <c r="J16" s="19">
        <v>4</v>
      </c>
      <c r="K16" s="19">
        <f>IFERROR(VLOOKUP(SalesData[[#This Row],[HSN Code]],ProductsData[#All],4,0),"")</f>
        <v>1799</v>
      </c>
      <c r="L16" s="19">
        <f>IFERROR(SalesData[[#This Row],[Price]]*SalesData[[#This Row],[Units]],"")</f>
        <v>7196</v>
      </c>
    </row>
    <row r="17" spans="4:12">
      <c r="D17" s="20">
        <v>100</v>
      </c>
      <c r="E17" s="19" t="str">
        <f>IFERROR(VLOOKUP(SalesData[[#This Row],[Cust_ID]],CustomersData[#All],2,0),"")</f>
        <v>Ram Sales</v>
      </c>
      <c r="F17" s="19" t="s">
        <v>31</v>
      </c>
      <c r="G17" s="19" t="str">
        <f>IFERROR(VLOOKUP(SalesData[[#This Row],[HSN Code]],ProductsData[#All],2,0),"")</f>
        <v>Laptop</v>
      </c>
      <c r="H17" s="21">
        <v>46174</v>
      </c>
      <c r="I17" s="19">
        <f>IFERROR(VLOOKUP(SalesData[[#This Row],[HSN Code]],Table6[#All],6,0),"")</f>
        <v>-5</v>
      </c>
      <c r="J17" s="19"/>
      <c r="K17" s="19">
        <f>IFERROR(VLOOKUP(SalesData[[#This Row],[HSN Code]],ProductsData[#All],4,0),"")</f>
        <v>45500</v>
      </c>
      <c r="L17" s="19">
        <f>IFERROR(SalesData[[#This Row],[Price]]*SalesData[[#This Row],[Units]],"")</f>
        <v>0</v>
      </c>
    </row>
    <row r="18" spans="4:12">
      <c r="D18" s="20">
        <v>105</v>
      </c>
      <c r="E18" s="19" t="str">
        <f>IFERROR(VLOOKUP(SalesData[[#This Row],[Cust_ID]],CustomersData[#All],2,0),"")</f>
        <v>Amit</v>
      </c>
      <c r="F18" s="19" t="s">
        <v>41</v>
      </c>
      <c r="G18" s="19" t="str">
        <f>IFERROR(VLOOKUP(SalesData[[#This Row],[HSN Code]],ProductsData[#All],2,0),"")</f>
        <v>Biscuits (Pack)</v>
      </c>
      <c r="H18" s="21">
        <v>46174</v>
      </c>
      <c r="I18" s="19">
        <f>IFERROR(VLOOKUP(SalesData[[#This Row],[HSN Code]],Table6[#All],6,0),"")</f>
        <v>30</v>
      </c>
      <c r="J18" s="19">
        <v>4</v>
      </c>
      <c r="K18" s="19">
        <f>IFERROR(VLOOKUP(SalesData[[#This Row],[HSN Code]],ProductsData[#All],4,0),"")</f>
        <v>25</v>
      </c>
      <c r="L18" s="19">
        <f>IFERROR(SalesData[[#This Row],[Price]]*SalesData[[#This Row],[Units]],"")</f>
        <v>100</v>
      </c>
    </row>
    <row r="19" spans="4:12">
      <c r="D19" s="20">
        <v>101</v>
      </c>
      <c r="E19" s="19" t="str">
        <f>IFERROR(VLOOKUP(SalesData[[#This Row],[Cust_ID]],CustomersData[#All],2,0),"")</f>
        <v>Atul Ltd.</v>
      </c>
      <c r="F19" s="19" t="s">
        <v>43</v>
      </c>
      <c r="G19" s="19" t="str">
        <f>IFERROR(VLOOKUP(SalesData[[#This Row],[HSN Code]],ProductsData[#All],2,0),"")</f>
        <v>Tea (500 g Pack)</v>
      </c>
      <c r="H19" s="21">
        <v>46174</v>
      </c>
      <c r="I19" s="19">
        <f>IFERROR(VLOOKUP(SalesData[[#This Row],[HSN Code]],Table6[#All],6,0),"")</f>
        <v>20</v>
      </c>
      <c r="J19" s="19">
        <v>4</v>
      </c>
      <c r="K19" s="19">
        <f>IFERROR(VLOOKUP(SalesData[[#This Row],[HSN Code]],ProductsData[#All],4,0),"")</f>
        <v>260</v>
      </c>
      <c r="L19" s="19">
        <f>IFERROR(SalesData[[#This Row],[Price]]*SalesData[[#This Row],[Units]],"")</f>
        <v>1040</v>
      </c>
    </row>
    <row r="20" spans="4:12">
      <c r="D20" s="20">
        <v>105</v>
      </c>
      <c r="E20" s="19" t="str">
        <f>IFERROR(VLOOKUP(SalesData[[#This Row],[Cust_ID]],CustomersData[#All],2,0),"")</f>
        <v>Amit</v>
      </c>
      <c r="F20" s="19" t="s">
        <v>37</v>
      </c>
      <c r="G20" s="19" t="str">
        <f>IFERROR(VLOOKUP(SalesData[[#This Row],[HSN Code]],ProductsData[#All],2,0),"")</f>
        <v>Wooden Office</v>
      </c>
      <c r="H20" s="21">
        <v>46174</v>
      </c>
      <c r="I20" s="19">
        <f>IFERROR(VLOOKUP(SalesData[[#This Row],[HSN Code]],Table6[#All],6,0),"")</f>
        <v>11</v>
      </c>
      <c r="J20" s="19">
        <v>4</v>
      </c>
      <c r="K20" s="19">
        <f>IFERROR(VLOOKUP(SalesData[[#This Row],[HSN Code]],ProductsData[#All],4,0),"")</f>
        <v>3499</v>
      </c>
      <c r="L20" s="19">
        <f>IFERROR(SalesData[[#This Row],[Price]]*SalesData[[#This Row],[Units]],"")</f>
        <v>13996</v>
      </c>
    </row>
    <row r="21" spans="4:12">
      <c r="D21" s="20">
        <v>104</v>
      </c>
      <c r="E21" s="19" t="str">
        <f>IFERROR(VLOOKUP(SalesData[[#This Row],[Cust_ID]],CustomersData[#All],2,0),"")</f>
        <v>Rajesh Kumar</v>
      </c>
      <c r="F21" s="19" t="s">
        <v>35</v>
      </c>
      <c r="G21" s="19" t="str">
        <f>IFERROR(VLOOKUP(SalesData[[#This Row],[HSN Code]],ProductsData[#All],2,0),"")</f>
        <v>Leather Shoes</v>
      </c>
      <c r="H21" s="21">
        <v>46174</v>
      </c>
      <c r="I21" s="19">
        <f>IFERROR(VLOOKUP(SalesData[[#This Row],[HSN Code]],Table6[#All],6,0),"")</f>
        <v>5</v>
      </c>
      <c r="J21" s="19">
        <v>20</v>
      </c>
      <c r="K21" s="19">
        <f>IFERROR(VLOOKUP(SalesData[[#This Row],[HSN Code]],ProductsData[#All],4,0),"")</f>
        <v>1799</v>
      </c>
      <c r="L21" s="19">
        <f>IFERROR(SalesData[[#This Row],[Price]]*SalesData[[#This Row],[Units]],"")</f>
        <v>35980</v>
      </c>
    </row>
  </sheetData>
  <dataValidations count="2">
    <dataValidation type="list" allowBlank="1" showInputMessage="1" showErrorMessage="1" sqref="D8:D21" xr:uid="{F9781BBB-268A-4AA8-9B59-2DACCD3D5773}">
      <formula1>cid</formula1>
    </dataValidation>
    <dataValidation type="list" allowBlank="1" showInputMessage="1" showErrorMessage="1" sqref="F8:F21" xr:uid="{7B217FA6-A05F-41A0-B3E0-B811C4710785}">
      <formula1>HSNCode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DE30-AC6A-46FF-B257-BFC13B31210F}">
  <dimension ref="B1:K21"/>
  <sheetViews>
    <sheetView showGridLines="0" showRowColHeaders="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4"/>
  <cols>
    <col min="1" max="1" width="3.21875" style="1" customWidth="1"/>
    <col min="2" max="2" width="21.44140625" style="2" customWidth="1"/>
    <col min="3" max="3" width="4.5546875" style="1" customWidth="1"/>
    <col min="4" max="4" width="11.21875" style="1" customWidth="1"/>
    <col min="5" max="5" width="15" style="1" customWidth="1"/>
    <col min="6" max="6" width="14.88671875" style="1" customWidth="1"/>
    <col min="7" max="7" width="15.77734375" style="1" bestFit="1" customWidth="1"/>
    <col min="8" max="8" width="11.88671875" style="1" customWidth="1"/>
    <col min="9" max="9" width="9" style="1" customWidth="1"/>
    <col min="10" max="10" width="11.5546875" style="1" customWidth="1"/>
    <col min="11" max="11" width="48.6640625" style="1" hidden="1" customWidth="1"/>
    <col min="12" max="16384" width="8.88671875" style="1"/>
  </cols>
  <sheetData>
    <row r="1" spans="2:11">
      <c r="B1" s="1"/>
    </row>
    <row r="7" spans="2:11">
      <c r="D7" s="19" t="s">
        <v>25</v>
      </c>
      <c r="E7" s="19" t="s">
        <v>26</v>
      </c>
      <c r="F7" s="19" t="s">
        <v>79</v>
      </c>
      <c r="G7" s="19" t="s">
        <v>87</v>
      </c>
      <c r="H7" s="19" t="s">
        <v>84</v>
      </c>
      <c r="I7" s="19" t="s">
        <v>86</v>
      </c>
      <c r="J7" s="19" t="s">
        <v>85</v>
      </c>
      <c r="K7" s="19" t="s">
        <v>101</v>
      </c>
    </row>
    <row r="8" spans="2:11">
      <c r="D8" s="19" t="str">
        <f>IFERROR(ProductsData[[#This Row],[HSN Code]],"")</f>
        <v>N1001</v>
      </c>
      <c r="E8" s="19" t="str">
        <f>IFERROR(ProductsData[[#This Row],[Product Name]],"")</f>
        <v>Mobile Phone</v>
      </c>
      <c r="F8" s="19">
        <f>IFERROR(ProductsData[[#This Row],[Cost (₹)]],"")</f>
        <v>12500</v>
      </c>
      <c r="G8" s="19">
        <f>SUMIF(PurchaseData[Product Name],Table6[[#This Row],[Product Name]],PurchaseData[Units])</f>
        <v>21</v>
      </c>
      <c r="H8" s="19">
        <f>SUMIF(SalesData[Product Name],Table6[[#This Row],[Product Name]],SalesData[Units])</f>
        <v>4</v>
      </c>
      <c r="I8" s="19">
        <f>Table6[[#This Row],[Purchase Units]]-Table6[[#This Row],[Sales Units]]</f>
        <v>17</v>
      </c>
      <c r="J8" s="19">
        <f>IFERROR(Table6[[#This Row],[Cost]]*Table6[[#This Row],[Stock]],"")</f>
        <v>212500</v>
      </c>
      <c r="K8" s="28" t="str">
        <f>IFERROR(IF(I7&lt;5,"📞 "&amp;E6&amp;" Needs to Re-Order ! PH  "&amp;VLOOKUP(Table6[[#This Row],[HSN Code]],VenderData[#All],4,0),""),"")</f>
        <v/>
      </c>
    </row>
    <row r="9" spans="2:11">
      <c r="D9" s="19" t="str">
        <f>IFERROR(ProductsData[[#This Row],[HSN Code]],"")</f>
        <v>N1002</v>
      </c>
      <c r="E9" s="19" t="str">
        <f>IFERROR(ProductsData[[#This Row],[Product Name]],"")</f>
        <v>Laptop</v>
      </c>
      <c r="F9" s="19">
        <f>IFERROR(ProductsData[[#This Row],[Cost (₹)]],"")</f>
        <v>38000</v>
      </c>
      <c r="G9" s="19">
        <f>SUMIF(PurchaseData[Product Name],Table6[[#This Row],[Product Name]],PurchaseData[Units])</f>
        <v>0</v>
      </c>
      <c r="H9" s="19">
        <f>SUMIF(SalesData[Product Name],Table6[[#This Row],[Product Name]],SalesData[Units])</f>
        <v>5</v>
      </c>
      <c r="I9" s="19">
        <f>Table6[[#This Row],[Purchase Units]]-Table6[[#This Row],[Sales Units]]</f>
        <v>-5</v>
      </c>
      <c r="J9" s="19">
        <f>IFERROR(Table6[[#This Row],[Cost]]*Table6[[#This Row],[Stock]],"")</f>
        <v>-190000</v>
      </c>
      <c r="K9" s="28" t="str">
        <f>IFERROR(IF(I8&lt;5,"📞 "&amp;E7&amp;" Needs to Re-Order ! PH  "&amp;VLOOKUP(Table6[[#This Row],[HSN Code]],VenderData[#All],4,0),""),"")</f>
        <v/>
      </c>
    </row>
    <row r="10" spans="2:11">
      <c r="D10" s="19" t="str">
        <f>IFERROR(ProductsData[[#This Row],[HSN Code]],"")</f>
        <v>N1003</v>
      </c>
      <c r="E10" s="19" t="str">
        <f>IFERROR(ProductsData[[#This Row],[Product Name]],"")</f>
        <v>Cotton T-Shirt</v>
      </c>
      <c r="F10" s="19">
        <f>IFERROR(ProductsData[[#This Row],[Cost (₹)]],"")</f>
        <v>220</v>
      </c>
      <c r="G10" s="19">
        <f>SUMIF(PurchaseData[Product Name],Table6[[#This Row],[Product Name]],PurchaseData[Units])</f>
        <v>61</v>
      </c>
      <c r="H10" s="19">
        <f>SUMIF(SalesData[Product Name],Table6[[#This Row],[Product Name]],SalesData[Units])</f>
        <v>4</v>
      </c>
      <c r="I10" s="19">
        <f>Table6[[#This Row],[Purchase Units]]-Table6[[#This Row],[Sales Units]]</f>
        <v>57</v>
      </c>
      <c r="J10" s="19">
        <f>IFERROR(Table6[[#This Row],[Cost]]*Table6[[#This Row],[Stock]],"")</f>
        <v>12540</v>
      </c>
      <c r="K10" s="28" t="str">
        <f>IFERROR(IF(I9&lt;5,"📞 "&amp;E8&amp;" Needs to Re-Order ! PH  "&amp;VLOOKUP(Table6[[#This Row],[HSN Code]],VenderData[#All],4,0),""),"")</f>
        <v>📞 Mobile Phone Needs to Re-Order ! PH  9012345678</v>
      </c>
    </row>
    <row r="11" spans="2:11">
      <c r="D11" s="19" t="str">
        <f>IFERROR(ProductsData[[#This Row],[HSN Code]],"")</f>
        <v>N1004</v>
      </c>
      <c r="E11" s="19" t="str">
        <f>IFERROR(ProductsData[[#This Row],[Product Name]],"")</f>
        <v>Leather Shoes</v>
      </c>
      <c r="F11" s="19">
        <f>IFERROR(ProductsData[[#This Row],[Cost (₹)]],"")</f>
        <v>1100</v>
      </c>
      <c r="G11" s="19">
        <f>SUMIF(PurchaseData[Product Name],Table6[[#This Row],[Product Name]],PurchaseData[Units])</f>
        <v>29</v>
      </c>
      <c r="H11" s="19">
        <f>SUMIF(SalesData[Product Name],Table6[[#This Row],[Product Name]],SalesData[Units])</f>
        <v>24</v>
      </c>
      <c r="I11" s="19">
        <f>Table6[[#This Row],[Purchase Units]]-Table6[[#This Row],[Sales Units]]</f>
        <v>5</v>
      </c>
      <c r="J11" s="19">
        <f>IFERROR(Table6[[#This Row],[Cost]]*Table6[[#This Row],[Stock]],"")</f>
        <v>5500</v>
      </c>
      <c r="K11" s="28" t="str">
        <f>IFERROR(IF(I10&lt;5,"📞 "&amp;E9&amp;" Needs to Re-Order ! PH  "&amp;VLOOKUP(Table6[[#This Row],[HSN Code]],VenderData[#All],4,0),""),"")</f>
        <v/>
      </c>
    </row>
    <row r="12" spans="2:11">
      <c r="D12" s="19" t="str">
        <f>IFERROR(ProductsData[[#This Row],[HSN Code]],"")</f>
        <v>N1005</v>
      </c>
      <c r="E12" s="19" t="str">
        <f>IFERROR(ProductsData[[#This Row],[Product Name]],"")</f>
        <v>Wooden Office</v>
      </c>
      <c r="F12" s="19">
        <f>IFERROR(ProductsData[[#This Row],[Cost (₹)]],"")</f>
        <v>2500</v>
      </c>
      <c r="G12" s="19">
        <f>SUMIF(PurchaseData[Product Name],Table6[[#This Row],[Product Name]],PurchaseData[Units])</f>
        <v>30</v>
      </c>
      <c r="H12" s="19">
        <f>SUMIF(SalesData[Product Name],Table6[[#This Row],[Product Name]],SalesData[Units])</f>
        <v>19</v>
      </c>
      <c r="I12" s="19">
        <f>Table6[[#This Row],[Purchase Units]]-Table6[[#This Row],[Sales Units]]</f>
        <v>11</v>
      </c>
      <c r="J12" s="19">
        <f>IFERROR(Table6[[#This Row],[Cost]]*Table6[[#This Row],[Stock]],"")</f>
        <v>27500</v>
      </c>
      <c r="K12" s="28" t="str">
        <f>IFERROR(IF(I11&lt;5,"📞 "&amp;E10&amp;" Needs to Re-Order ! PH  "&amp;VLOOKUP(Table6[[#This Row],[HSN Code]],VenderData[#All],4,0),""),"")</f>
        <v/>
      </c>
    </row>
    <row r="13" spans="2:11">
      <c r="D13" s="19" t="str">
        <f>IFERROR(ProductsData[[#This Row],[HSN Code]],"")</f>
        <v>N1006</v>
      </c>
      <c r="E13" s="19" t="str">
        <f>IFERROR(ProductsData[[#This Row],[Product Name]],"")</f>
        <v>Stainless Steel</v>
      </c>
      <c r="F13" s="19">
        <f>IFERROR(ProductsData[[#This Row],[Cost (₹)]],"")</f>
        <v>180</v>
      </c>
      <c r="G13" s="19">
        <f>SUMIF(PurchaseData[Product Name],Table6[[#This Row],[Product Name]],PurchaseData[Units])</f>
        <v>39</v>
      </c>
      <c r="H13" s="19">
        <f>SUMIF(SalesData[Product Name],Table6[[#This Row],[Product Name]],SalesData[Units])</f>
        <v>4</v>
      </c>
      <c r="I13" s="19">
        <f>Table6[[#This Row],[Purchase Units]]-Table6[[#This Row],[Sales Units]]</f>
        <v>35</v>
      </c>
      <c r="J13" s="19">
        <f>IFERROR(Table6[[#This Row],[Cost]]*Table6[[#This Row],[Stock]],"")</f>
        <v>6300</v>
      </c>
      <c r="K13" s="28" t="str">
        <f>IFERROR(IF(I12&lt;5,"📞 "&amp;E11&amp;" Needs to Re-Order ! PH  "&amp;VLOOKUP(Table6[[#This Row],[HSN Code]],VenderData[#All],4,0),""),"")</f>
        <v/>
      </c>
    </row>
    <row r="14" spans="2:11">
      <c r="D14" s="19" t="str">
        <f>IFERROR(ProductsData[[#This Row],[HSN Code]],"")</f>
        <v>N1007</v>
      </c>
      <c r="E14" s="19" t="str">
        <f>IFERROR(ProductsData[[#This Row],[Product Name]],"")</f>
        <v>Biscuits (Pack)</v>
      </c>
      <c r="F14" s="19">
        <f>IFERROR(ProductsData[[#This Row],[Cost (₹)]],"")</f>
        <v>18</v>
      </c>
      <c r="G14" s="19">
        <f>SUMIF(PurchaseData[Product Name],Table6[[#This Row],[Product Name]],PurchaseData[Units])</f>
        <v>46</v>
      </c>
      <c r="H14" s="19">
        <f>SUMIF(SalesData[Product Name],Table6[[#This Row],[Product Name]],SalesData[Units])</f>
        <v>16</v>
      </c>
      <c r="I14" s="19">
        <f>Table6[[#This Row],[Purchase Units]]-Table6[[#This Row],[Sales Units]]</f>
        <v>30</v>
      </c>
      <c r="J14" s="19">
        <f>IFERROR(Table6[[#This Row],[Cost]]*Table6[[#This Row],[Stock]],"")</f>
        <v>540</v>
      </c>
      <c r="K14" s="28" t="str">
        <f>IFERROR(IF(I13&lt;5,"📞 "&amp;E12&amp;" Needs to Re-Order ! PH  "&amp;VLOOKUP(Table6[[#This Row],[HSN Code]],VenderData[#All],4,0),""),"")</f>
        <v/>
      </c>
    </row>
    <row r="15" spans="2:11">
      <c r="D15" s="19" t="str">
        <f>IFERROR(ProductsData[[#This Row],[HSN Code]],"")</f>
        <v>N1008</v>
      </c>
      <c r="E15" s="19" t="str">
        <f>IFERROR(ProductsData[[#This Row],[Product Name]],"")</f>
        <v>Tea (500 g Pack)</v>
      </c>
      <c r="F15" s="19">
        <f>IFERROR(ProductsData[[#This Row],[Cost (₹)]],"")</f>
        <v>180</v>
      </c>
      <c r="G15" s="19">
        <f>SUMIF(PurchaseData[Product Name],Table6[[#This Row],[Product Name]],PurchaseData[Units])</f>
        <v>28</v>
      </c>
      <c r="H15" s="19">
        <f>SUMIF(SalesData[Product Name],Table6[[#This Row],[Product Name]],SalesData[Units])</f>
        <v>8</v>
      </c>
      <c r="I15" s="19">
        <f>Table6[[#This Row],[Purchase Units]]-Table6[[#This Row],[Sales Units]]</f>
        <v>20</v>
      </c>
      <c r="J15" s="19">
        <f>IFERROR(Table6[[#This Row],[Cost]]*Table6[[#This Row],[Stock]],"")</f>
        <v>3600</v>
      </c>
      <c r="K15" s="28" t="str">
        <f>IFERROR(IF(I14&lt;5,"📞 "&amp;E13&amp;" Needs to Re-Order ! PH  "&amp;VLOOKUP(Table6[[#This Row],[HSN Code]],VenderData[#All],4,0),""),"")</f>
        <v/>
      </c>
    </row>
    <row r="16" spans="2:11">
      <c r="D16" s="19" t="str">
        <f>IFERROR(ProductsData[[#This Row],[HSN Code]],"")</f>
        <v>N1009</v>
      </c>
      <c r="E16" s="19" t="str">
        <f>IFERROR(ProductsData[[#This Row],[Product Name]],"")</f>
        <v>Electric Kettle</v>
      </c>
      <c r="F16" s="19">
        <f>IFERROR(ProductsData[[#This Row],[Cost (₹)]],"")</f>
        <v>750</v>
      </c>
      <c r="G16" s="19">
        <f>SUMIF(PurchaseData[Product Name],Table6[[#This Row],[Product Name]],PurchaseData[Units])</f>
        <v>0</v>
      </c>
      <c r="H16" s="19">
        <f>SUMIF(SalesData[Product Name],Table6[[#This Row],[Product Name]],SalesData[Units])</f>
        <v>0</v>
      </c>
      <c r="I16" s="19">
        <f>Table6[[#This Row],[Purchase Units]]-Table6[[#This Row],[Sales Units]]</f>
        <v>0</v>
      </c>
      <c r="J16" s="19">
        <f>IFERROR(Table6[[#This Row],[Cost]]*Table6[[#This Row],[Stock]],"")</f>
        <v>0</v>
      </c>
      <c r="K16" s="28" t="str">
        <f>IFERROR(IF(I15&lt;5,"📞 "&amp;E14&amp;" Needs to Re-Order ! PH  "&amp;VLOOKUP(Table6[[#This Row],[HSN Code]],VenderData[#All],4,0),""),"")</f>
        <v/>
      </c>
    </row>
    <row r="17" spans="4:11">
      <c r="D17" s="19" t="str">
        <f>IFERROR(ProductsData[[#This Row],[HSN Code]],"")</f>
        <v>N1010</v>
      </c>
      <c r="E17" s="19" t="str">
        <f>IFERROR(ProductsData[[#This Row],[Product Name]],"")</f>
        <v>Face Cream</v>
      </c>
      <c r="F17" s="19">
        <f>IFERROR(ProductsData[[#This Row],[Cost (₹)]],"")</f>
        <v>140</v>
      </c>
      <c r="G17" s="19">
        <f>SUMIF(PurchaseData[Product Name],Table6[[#This Row],[Product Name]],PurchaseData[Units])</f>
        <v>0</v>
      </c>
      <c r="H17" s="19">
        <f>SUMIF(SalesData[Product Name],Table6[[#This Row],[Product Name]],SalesData[Units])</f>
        <v>0</v>
      </c>
      <c r="I17" s="19">
        <f>Table6[[#This Row],[Purchase Units]]-Table6[[#This Row],[Sales Units]]</f>
        <v>0</v>
      </c>
      <c r="J17" s="19">
        <f>IFERROR(Table6[[#This Row],[Cost]]*Table6[[#This Row],[Stock]],"")</f>
        <v>0</v>
      </c>
      <c r="K17" s="28" t="str">
        <f>IFERROR(IF(I16&lt;5,"📞 "&amp;E15&amp;" Needs to Re-Order ! PH  "&amp;VLOOKUP(Table6[[#This Row],[HSN Code]],VenderData[#All],4,0),""),"")</f>
        <v>📞 Tea (500 g Pack) Needs to Re-Order ! PH  9543216780</v>
      </c>
    </row>
    <row r="18" spans="4:11">
      <c r="D18" s="19" t="str">
        <f>IFERROR(ProductsData[[#This Row],[HSN Code]],"")</f>
        <v/>
      </c>
      <c r="E18" s="19" t="str">
        <f>IFERROR(ProductsData[[#This Row],[Product Name]],"")</f>
        <v/>
      </c>
      <c r="F18" s="19" t="str">
        <f>IFERROR(ProductsData[[#This Row],[Cost (₹)]],"")</f>
        <v/>
      </c>
      <c r="G18" s="19">
        <f>SUMIF(PurchaseData[Product Name],Table6[[#This Row],[Product Name]],PurchaseData[Units])</f>
        <v>0</v>
      </c>
      <c r="H18" s="19">
        <f>SUMIF(SalesData[Product Name],Table6[[#This Row],[Product Name]],SalesData[Units])</f>
        <v>0</v>
      </c>
      <c r="I18" s="19">
        <f>Table6[[#This Row],[Purchase Units]]-Table6[[#This Row],[Sales Units]]</f>
        <v>0</v>
      </c>
      <c r="J18" s="19" t="str">
        <f>IFERROR(Table6[[#This Row],[Cost]]*Table6[[#This Row],[Stock]],"")</f>
        <v/>
      </c>
      <c r="K18" s="28" t="str">
        <f>IFERROR(IF(I17&lt;5,"📞 "&amp;E16&amp;" Needs to Re-Order ! PH  "&amp;VLOOKUP(Table6[[#This Row],[HSN Code]],VenderData[#All],4,0),""),"")</f>
        <v/>
      </c>
    </row>
    <row r="19" spans="4:11">
      <c r="D19" s="19" t="str">
        <f>IFERROR(ProductsData[[#This Row],[HSN Code]],"")</f>
        <v/>
      </c>
      <c r="E19" s="19" t="str">
        <f>IFERROR(ProductsData[[#This Row],[Product Name]],"")</f>
        <v/>
      </c>
      <c r="F19" s="19" t="str">
        <f>IFERROR(ProductsData[[#This Row],[Cost (₹)]],"")</f>
        <v/>
      </c>
      <c r="G19" s="19">
        <f>SUMIF(PurchaseData[Product Name],Table6[[#This Row],[Product Name]],PurchaseData[Units])</f>
        <v>0</v>
      </c>
      <c r="H19" s="19">
        <f>SUMIF(SalesData[Product Name],Table6[[#This Row],[Product Name]],SalesData[Units])</f>
        <v>0</v>
      </c>
      <c r="I19" s="19">
        <f>Table6[[#This Row],[Purchase Units]]-Table6[[#This Row],[Sales Units]]</f>
        <v>0</v>
      </c>
      <c r="J19" s="19" t="str">
        <f>IFERROR(Table6[[#This Row],[Cost]]*Table6[[#This Row],[Stock]],"")</f>
        <v/>
      </c>
      <c r="K19" s="28" t="str">
        <f>IFERROR(IF(I18&lt;5,"📞 "&amp;E17&amp;" Needs to Re-Order ! PH  "&amp;VLOOKUP(Table6[[#This Row],[HSN Code]],VenderData[#All],4,0),""),"")</f>
        <v/>
      </c>
    </row>
    <row r="20" spans="4:11">
      <c r="D20" s="19" t="str">
        <f>IFERROR(ProductsData[[#This Row],[HSN Code]],"")</f>
        <v/>
      </c>
      <c r="E20" s="19" t="str">
        <f>IFERROR(ProductsData[[#This Row],[Product Name]],"")</f>
        <v/>
      </c>
      <c r="F20" s="19" t="str">
        <f>IFERROR(ProductsData[[#This Row],[Cost (₹)]],"")</f>
        <v/>
      </c>
      <c r="G20" s="19">
        <f>SUMIF(PurchaseData[Product Name],Table6[[#This Row],[Product Name]],PurchaseData[Units])</f>
        <v>0</v>
      </c>
      <c r="H20" s="19">
        <f>SUMIF(SalesData[Product Name],Table6[[#This Row],[Product Name]],SalesData[Units])</f>
        <v>0</v>
      </c>
      <c r="I20" s="19">
        <f>Table6[[#This Row],[Purchase Units]]-Table6[[#This Row],[Sales Units]]</f>
        <v>0</v>
      </c>
      <c r="J20" s="19" t="str">
        <f>IFERROR(Table6[[#This Row],[Cost]]*Table6[[#This Row],[Stock]],"")</f>
        <v/>
      </c>
      <c r="K20" s="28" t="str">
        <f>IFERROR(IF(I19&lt;5,"📞 "&amp;E18&amp;" Needs to Re-Order ! PH  "&amp;VLOOKUP(Table6[[#This Row],[HSN Code]],VenderData[#All],4,0),""),"")</f>
        <v/>
      </c>
    </row>
    <row r="21" spans="4:11">
      <c r="D21" s="19" t="str">
        <f>IFERROR(ProductsData[[#This Row],[HSN Code]],"")</f>
        <v/>
      </c>
      <c r="E21" s="19" t="str">
        <f>IFERROR(ProductsData[[#This Row],[Product Name]],"")</f>
        <v/>
      </c>
      <c r="F21" s="19" t="str">
        <f>IFERROR(ProductsData[[#This Row],[Cost (₹)]],"")</f>
        <v/>
      </c>
      <c r="G21" s="19">
        <f>SUMIF(PurchaseData[Product Name],Table6[[#This Row],[Product Name]],PurchaseData[Units])</f>
        <v>0</v>
      </c>
      <c r="H21" s="19">
        <f>SUMIF(SalesData[Product Name],Table6[[#This Row],[Product Name]],SalesData[Units])</f>
        <v>0</v>
      </c>
      <c r="I21" s="19">
        <f>Table6[[#This Row],[Purchase Units]]-Table6[[#This Row],[Sales Units]]</f>
        <v>0</v>
      </c>
      <c r="J21" s="19" t="str">
        <f>IFERROR(Table6[[#This Row],[Cost]]*Table6[[#This Row],[Stock]],"")</f>
        <v/>
      </c>
      <c r="K21" s="28" t="str">
        <f>IFERROR(IF(I20&lt;5,"📞 "&amp;E19&amp;" Needs to Re-Order ! PH  "&amp;VLOOKUP(Table6[[#This Row],[HSN Code]],VenderData[#All],4,0),""),"")</f>
        <v/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3ECB-D885-4D37-A569-A234754F261D}">
  <dimension ref="A2:F32"/>
  <sheetViews>
    <sheetView workbookViewId="0">
      <selection activeCell="B36" sqref="B36"/>
    </sheetView>
  </sheetViews>
  <sheetFormatPr defaultRowHeight="14.4"/>
  <cols>
    <col min="1" max="1" width="16.21875" bestFit="1" customWidth="1"/>
    <col min="2" max="3" width="12.109375" bestFit="1" customWidth="1"/>
    <col min="5" max="5" width="14.21875" bestFit="1" customWidth="1"/>
    <col min="6" max="6" width="16.5546875" bestFit="1" customWidth="1"/>
  </cols>
  <sheetData>
    <row r="2" spans="1:6">
      <c r="A2" t="s">
        <v>88</v>
      </c>
      <c r="C2" t="s">
        <v>89</v>
      </c>
      <c r="E2" s="24" t="s">
        <v>97</v>
      </c>
      <c r="F2" t="s">
        <v>99</v>
      </c>
    </row>
    <row r="3" spans="1:6">
      <c r="A3" s="22">
        <v>9</v>
      </c>
      <c r="C3">
        <f>GETPIVOTDATA("Name",$A$2)</f>
        <v>9</v>
      </c>
      <c r="E3" s="25" t="s">
        <v>36</v>
      </c>
      <c r="F3" s="22">
        <v>24</v>
      </c>
    </row>
    <row r="4" spans="1:6">
      <c r="E4" s="25" t="s">
        <v>49</v>
      </c>
      <c r="F4" s="22">
        <v>19</v>
      </c>
    </row>
    <row r="5" spans="1:6">
      <c r="A5" t="s">
        <v>90</v>
      </c>
      <c r="C5" t="s">
        <v>91</v>
      </c>
      <c r="E5" s="25" t="s">
        <v>42</v>
      </c>
      <c r="F5" s="22">
        <v>16</v>
      </c>
    </row>
    <row r="6" spans="1:6">
      <c r="A6" s="22">
        <v>10</v>
      </c>
      <c r="C6">
        <f>GETPIVOTDATA("Product Name",$A$5)</f>
        <v>10</v>
      </c>
      <c r="E6" s="25" t="s">
        <v>44</v>
      </c>
      <c r="F6" s="22">
        <v>8</v>
      </c>
    </row>
    <row r="7" spans="1:6">
      <c r="E7" s="25" t="s">
        <v>32</v>
      </c>
      <c r="F7" s="22">
        <v>5</v>
      </c>
    </row>
    <row r="8" spans="1:6">
      <c r="A8" t="s">
        <v>92</v>
      </c>
      <c r="C8" t="s">
        <v>93</v>
      </c>
      <c r="E8" s="25" t="s">
        <v>98</v>
      </c>
      <c r="F8" s="22">
        <v>72</v>
      </c>
    </row>
    <row r="9" spans="1:6">
      <c r="A9" s="22">
        <v>395708</v>
      </c>
      <c r="C9" s="23">
        <f>GETPIVOTDATA("Amount",$A$8)</f>
        <v>395708</v>
      </c>
    </row>
    <row r="10" spans="1:6">
      <c r="E10" s="24" t="s">
        <v>97</v>
      </c>
      <c r="F10" t="s">
        <v>92</v>
      </c>
    </row>
    <row r="11" spans="1:6">
      <c r="A11" t="s">
        <v>92</v>
      </c>
      <c r="C11" t="s">
        <v>94</v>
      </c>
      <c r="E11" s="25" t="s">
        <v>8</v>
      </c>
      <c r="F11" s="22">
        <v>263480</v>
      </c>
    </row>
    <row r="12" spans="1:6">
      <c r="A12" s="22">
        <v>406425</v>
      </c>
      <c r="C12" s="23">
        <f>GETPIVOTDATA("Amount",$A$11)</f>
        <v>406425</v>
      </c>
      <c r="E12" s="25" t="s">
        <v>6</v>
      </c>
      <c r="F12" s="22">
        <v>63996</v>
      </c>
    </row>
    <row r="13" spans="1:6">
      <c r="E13" s="25" t="s">
        <v>9</v>
      </c>
      <c r="F13" s="22">
        <v>50282</v>
      </c>
    </row>
    <row r="14" spans="1:6">
      <c r="A14" t="s">
        <v>95</v>
      </c>
      <c r="C14" t="s">
        <v>85</v>
      </c>
      <c r="E14" s="25" t="s">
        <v>7</v>
      </c>
      <c r="F14" s="22">
        <v>17495</v>
      </c>
    </row>
    <row r="15" spans="1:6">
      <c r="A15" s="22">
        <v>78480</v>
      </c>
      <c r="C15" s="23">
        <f>GETPIVOTDATA("Stock Amt",$A$14)</f>
        <v>78480</v>
      </c>
      <c r="E15" s="25" t="s">
        <v>5</v>
      </c>
      <c r="F15" s="22">
        <v>9832</v>
      </c>
    </row>
    <row r="16" spans="1:6">
      <c r="E16" s="25" t="s">
        <v>98</v>
      </c>
      <c r="F16" s="22">
        <v>405085</v>
      </c>
    </row>
    <row r="18" spans="1:3">
      <c r="C18" t="s">
        <v>96</v>
      </c>
    </row>
    <row r="19" spans="1:3">
      <c r="C19" s="23">
        <f>C15+C12-C9</f>
        <v>89197</v>
      </c>
    </row>
    <row r="21" spans="1:3">
      <c r="A21" s="24" t="s">
        <v>97</v>
      </c>
      <c r="B21" t="s">
        <v>102</v>
      </c>
    </row>
    <row r="22" spans="1:3">
      <c r="A22" s="25" t="s">
        <v>42</v>
      </c>
      <c r="B22" s="22">
        <v>30</v>
      </c>
    </row>
    <row r="23" spans="1:3">
      <c r="A23" s="25" t="s">
        <v>34</v>
      </c>
      <c r="B23" s="22">
        <v>57</v>
      </c>
    </row>
    <row r="24" spans="1:3">
      <c r="A24" s="25" t="s">
        <v>46</v>
      </c>
      <c r="B24" s="22">
        <v>0</v>
      </c>
    </row>
    <row r="25" spans="1:3">
      <c r="A25" s="25" t="s">
        <v>48</v>
      </c>
      <c r="B25" s="22">
        <v>0</v>
      </c>
    </row>
    <row r="26" spans="1:3">
      <c r="A26" s="25" t="s">
        <v>32</v>
      </c>
      <c r="B26" s="22">
        <v>-5</v>
      </c>
    </row>
    <row r="27" spans="1:3">
      <c r="A27" s="25" t="s">
        <v>36</v>
      </c>
      <c r="B27" s="22">
        <v>5</v>
      </c>
    </row>
    <row r="28" spans="1:3">
      <c r="A28" s="25" t="s">
        <v>30</v>
      </c>
      <c r="B28" s="22">
        <v>17</v>
      </c>
    </row>
    <row r="29" spans="1:3">
      <c r="A29" s="25" t="s">
        <v>50</v>
      </c>
      <c r="B29" s="22">
        <v>35</v>
      </c>
    </row>
    <row r="30" spans="1:3">
      <c r="A30" s="25" t="s">
        <v>44</v>
      </c>
      <c r="B30" s="22">
        <v>20</v>
      </c>
    </row>
    <row r="31" spans="1:3">
      <c r="A31" s="25" t="s">
        <v>49</v>
      </c>
      <c r="B31" s="22">
        <v>11</v>
      </c>
    </row>
    <row r="32" spans="1:3">
      <c r="A32" s="25" t="s">
        <v>98</v>
      </c>
      <c r="B32" s="22">
        <v>170</v>
      </c>
    </row>
  </sheetData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Pivots</vt:lpstr>
      <vt:lpstr>cid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raja</dc:creator>
  <cp:lastModifiedBy>rehan raja</cp:lastModifiedBy>
  <dcterms:created xsi:type="dcterms:W3CDTF">2026-07-05T12:23:29Z</dcterms:created>
  <dcterms:modified xsi:type="dcterms:W3CDTF">2026-07-06T03:37:02Z</dcterms:modified>
</cp:coreProperties>
</file>